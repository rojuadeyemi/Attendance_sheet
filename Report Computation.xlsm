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eroju\Desktop\"/>
    </mc:Choice>
  </mc:AlternateContent>
  <xr:revisionPtr revIDLastSave="0" documentId="13_ncr:1_{319AF6AA-D707-41A4-A09C-66023EB08D93}" xr6:coauthVersionLast="47" xr6:coauthVersionMax="47" xr10:uidLastSave="{00000000-0000-0000-0000-000000000000}"/>
  <bookViews>
    <workbookView showSheetTabs="0" xWindow="-110" yWindow="-110" windowWidth="19420" windowHeight="10300" tabRatio="918" xr2:uid="{00000000-000D-0000-FFFF-FFFF00000000}"/>
  </bookViews>
  <sheets>
    <sheet name="Dashboard" sheetId="6" r:id="rId1"/>
    <sheet name="setup1" sheetId="9" state="hidden" r:id="rId2"/>
    <sheet name="FIRST TERM" sheetId="4" r:id="rId3"/>
    <sheet name="SECOND TERM" sheetId="10" r:id="rId4"/>
    <sheet name="THIRD TERM" sheetId="12" r:id="rId5"/>
    <sheet name="REPORT PAGE" sheetId="13" r:id="rId6"/>
    <sheet name="Student List" sheetId="15" r:id="rId7"/>
    <sheet name="Setup" sheetId="8" r:id="rId8"/>
  </sheets>
  <definedNames>
    <definedName name="_xlnm.Print_Area" localSheetId="5">'REPORT PAGE'!$A$1:$F$67</definedName>
    <definedName name="result" localSheetId="3">'SECOND TERM'!$A$6:$DS$45</definedName>
    <definedName name="result" localSheetId="4">'THIRD TERM'!$A$6:$DS$45</definedName>
    <definedName name="result">'FIRST TERM'!$A$6:$DW$45</definedName>
    <definedName name="table" localSheetId="3">'SECOND TERM'!$B$6:$R$70</definedName>
    <definedName name="table" localSheetId="4">'THIRD TERM'!$B$6:$R$70</definedName>
    <definedName name="table">'FIRST TERM'!$B$6:$R$70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L1" i="12" l="1"/>
  <c r="DK1" i="12"/>
  <c r="DH1" i="12"/>
  <c r="DG1" i="12"/>
  <c r="DD1" i="12"/>
  <c r="DC1" i="12"/>
  <c r="CZ1" i="12"/>
  <c r="CY1" i="12"/>
  <c r="CV1" i="12"/>
  <c r="CU1" i="12"/>
  <c r="CR1" i="12"/>
  <c r="CQ1" i="12"/>
  <c r="CN1" i="12"/>
  <c r="CM1" i="12"/>
  <c r="CJ1" i="12"/>
  <c r="CI1" i="12"/>
  <c r="CF1" i="12"/>
  <c r="CE1" i="12"/>
  <c r="CB1" i="12"/>
  <c r="CA1" i="12"/>
  <c r="BX1" i="12"/>
  <c r="BW1" i="12"/>
  <c r="BT1" i="12"/>
  <c r="BS1" i="12"/>
  <c r="BP1" i="12"/>
  <c r="BO1" i="12"/>
  <c r="BL1" i="12"/>
  <c r="BK1" i="12"/>
  <c r="BH1" i="12"/>
  <c r="BG1" i="12"/>
  <c r="BD1" i="12"/>
  <c r="BC1" i="12"/>
  <c r="AZ1" i="12"/>
  <c r="AY1" i="12"/>
  <c r="AV1" i="12"/>
  <c r="AU1" i="12"/>
  <c r="AR1" i="12"/>
  <c r="AQ1" i="12"/>
  <c r="AN1" i="12"/>
  <c r="AM1" i="12"/>
  <c r="AJ1" i="12"/>
  <c r="AI1" i="12"/>
  <c r="AF1" i="12"/>
  <c r="AE1" i="12"/>
  <c r="AB1" i="12"/>
  <c r="AA1" i="12"/>
  <c r="X1" i="12"/>
  <c r="W1" i="12"/>
  <c r="T1" i="12"/>
  <c r="S1" i="12"/>
  <c r="DL1" i="10"/>
  <c r="DK1" i="10"/>
  <c r="DH1" i="10"/>
  <c r="DG1" i="10"/>
  <c r="DD1" i="10"/>
  <c r="DC1" i="10"/>
  <c r="CZ1" i="10"/>
  <c r="CY1" i="10"/>
  <c r="CV1" i="10"/>
  <c r="CU1" i="10"/>
  <c r="CR1" i="10"/>
  <c r="CQ1" i="10"/>
  <c r="CN1" i="10"/>
  <c r="CM1" i="10"/>
  <c r="CJ1" i="10"/>
  <c r="CI1" i="10"/>
  <c r="CF1" i="10"/>
  <c r="CE1" i="10"/>
  <c r="CB1" i="10"/>
  <c r="CA1" i="10"/>
  <c r="BX1" i="10"/>
  <c r="BW1" i="10"/>
  <c r="BT1" i="10"/>
  <c r="BS1" i="10"/>
  <c r="BP1" i="10"/>
  <c r="BO1" i="10"/>
  <c r="BL1" i="10"/>
  <c r="BK1" i="10"/>
  <c r="BH1" i="10"/>
  <c r="BG1" i="10"/>
  <c r="BD1" i="10"/>
  <c r="BC1" i="10"/>
  <c r="AZ1" i="10"/>
  <c r="AY1" i="10"/>
  <c r="AV1" i="10"/>
  <c r="AU1" i="10"/>
  <c r="AR1" i="10"/>
  <c r="AQ1" i="10"/>
  <c r="AN1" i="10"/>
  <c r="AM1" i="10"/>
  <c r="AJ1" i="10"/>
  <c r="AI1" i="10"/>
  <c r="AF1" i="10"/>
  <c r="AE1" i="10"/>
  <c r="AB1" i="10"/>
  <c r="AA1" i="10"/>
  <c r="X1" i="10"/>
  <c r="W1" i="10"/>
  <c r="T1" i="10"/>
  <c r="S1" i="10"/>
  <c r="DL1" i="4"/>
  <c r="DK1" i="4"/>
  <c r="DH1" i="4"/>
  <c r="DG1" i="4"/>
  <c r="DD1" i="4"/>
  <c r="DC1" i="4"/>
  <c r="CZ1" i="4"/>
  <c r="CY1" i="4"/>
  <c r="CV1" i="4"/>
  <c r="CU1" i="4"/>
  <c r="CR1" i="4"/>
  <c r="CQ1" i="4"/>
  <c r="CN1" i="4"/>
  <c r="CM1" i="4"/>
  <c r="CJ1" i="4"/>
  <c r="CI1" i="4"/>
  <c r="CF1" i="4"/>
  <c r="CE1" i="4"/>
  <c r="CB1" i="4"/>
  <c r="CA1" i="4"/>
  <c r="BX1" i="4"/>
  <c r="BW1" i="4"/>
  <c r="BT1" i="4"/>
  <c r="BS1" i="4"/>
  <c r="BP1" i="4"/>
  <c r="BO1" i="4"/>
  <c r="BL1" i="4"/>
  <c r="BK1" i="4"/>
  <c r="BH1" i="4"/>
  <c r="BG1" i="4"/>
  <c r="BD1" i="4"/>
  <c r="BC1" i="4"/>
  <c r="AZ1" i="4"/>
  <c r="AY1" i="4"/>
  <c r="AV1" i="4"/>
  <c r="AU1" i="4"/>
  <c r="AR1" i="4"/>
  <c r="AQ1" i="4"/>
  <c r="AN1" i="4"/>
  <c r="AM1" i="4"/>
  <c r="AJ1" i="4"/>
  <c r="AI1" i="4"/>
  <c r="AF1" i="4"/>
  <c r="AE1" i="4"/>
  <c r="AB1" i="4"/>
  <c r="AA1" i="4"/>
  <c r="X1" i="4"/>
  <c r="W1" i="4"/>
  <c r="T1" i="4"/>
  <c r="S1" i="4"/>
  <c r="A70" i="13"/>
  <c r="A38" i="13"/>
  <c r="A35" i="13"/>
  <c r="A34" i="13"/>
  <c r="A33" i="13"/>
  <c r="A32" i="13"/>
  <c r="A31" i="13"/>
  <c r="A30" i="13"/>
  <c r="A29" i="13"/>
  <c r="A28" i="13"/>
  <c r="C10" i="13"/>
  <c r="B8" i="13"/>
  <c r="B9" i="13" s="1"/>
  <c r="CK70" i="10"/>
  <c r="CG70" i="10"/>
  <c r="CC70" i="10"/>
  <c r="BY70" i="10"/>
  <c r="BU70" i="10"/>
  <c r="BQ70" i="10"/>
  <c r="BM70" i="10"/>
  <c r="CK69" i="10"/>
  <c r="CG69" i="10"/>
  <c r="CC69" i="10"/>
  <c r="BY69" i="10"/>
  <c r="BU69" i="10"/>
  <c r="BQ69" i="10"/>
  <c r="BM69" i="10"/>
  <c r="CK68" i="10"/>
  <c r="CG68" i="10"/>
  <c r="CC68" i="10"/>
  <c r="BY68" i="10"/>
  <c r="BU68" i="10"/>
  <c r="BQ68" i="10"/>
  <c r="BM68" i="10"/>
  <c r="CK67" i="10"/>
  <c r="CG67" i="10"/>
  <c r="CC67" i="10"/>
  <c r="BY67" i="10"/>
  <c r="BU67" i="10"/>
  <c r="BQ67" i="10"/>
  <c r="BM67" i="10"/>
  <c r="CK66" i="10"/>
  <c r="CG66" i="10"/>
  <c r="CC66" i="10"/>
  <c r="BY66" i="10"/>
  <c r="BU66" i="10"/>
  <c r="BQ66" i="10"/>
  <c r="BM66" i="10"/>
  <c r="CK65" i="10"/>
  <c r="CG65" i="10"/>
  <c r="CC65" i="10"/>
  <c r="BY65" i="10"/>
  <c r="BU65" i="10"/>
  <c r="BQ65" i="10"/>
  <c r="BM65" i="10"/>
  <c r="CK64" i="10"/>
  <c r="CG64" i="10"/>
  <c r="CC64" i="10"/>
  <c r="BY64" i="10"/>
  <c r="BU64" i="10"/>
  <c r="BQ64" i="10"/>
  <c r="BM64" i="10"/>
  <c r="CK63" i="10"/>
  <c r="CG63" i="10"/>
  <c r="CC63" i="10"/>
  <c r="BY63" i="10"/>
  <c r="BU63" i="10"/>
  <c r="BQ63" i="10"/>
  <c r="BM63" i="10"/>
  <c r="CK62" i="10"/>
  <c r="CG62" i="10"/>
  <c r="CC62" i="10"/>
  <c r="BY62" i="10"/>
  <c r="BU62" i="10"/>
  <c r="BQ62" i="10"/>
  <c r="BM62" i="10"/>
  <c r="CK61" i="10"/>
  <c r="CG61" i="10"/>
  <c r="CC61" i="10"/>
  <c r="BY61" i="10"/>
  <c r="BU61" i="10"/>
  <c r="BQ61" i="10"/>
  <c r="BM61" i="10"/>
  <c r="CK60" i="10"/>
  <c r="CG60" i="10"/>
  <c r="CC60" i="10"/>
  <c r="BY60" i="10"/>
  <c r="BU60" i="10"/>
  <c r="BQ60" i="10"/>
  <c r="BM60" i="10"/>
  <c r="CK59" i="10"/>
  <c r="CG59" i="10"/>
  <c r="CC59" i="10"/>
  <c r="BY59" i="10"/>
  <c r="BU59" i="10"/>
  <c r="BQ59" i="10"/>
  <c r="BM59" i="10"/>
  <c r="CK58" i="10"/>
  <c r="CG58" i="10"/>
  <c r="CC58" i="10"/>
  <c r="BY58" i="10"/>
  <c r="BU58" i="10"/>
  <c r="BQ58" i="10"/>
  <c r="BM58" i="10"/>
  <c r="CK57" i="10"/>
  <c r="CG57" i="10"/>
  <c r="CC57" i="10"/>
  <c r="BY57" i="10"/>
  <c r="BU57" i="10"/>
  <c r="BQ57" i="10"/>
  <c r="BM57" i="10"/>
  <c r="CK56" i="10"/>
  <c r="CG56" i="10"/>
  <c r="CC56" i="10"/>
  <c r="BY56" i="10"/>
  <c r="BU56" i="10"/>
  <c r="BQ56" i="10"/>
  <c r="BM56" i="10"/>
  <c r="CK55" i="10"/>
  <c r="CG55" i="10"/>
  <c r="CC55" i="10"/>
  <c r="BY55" i="10"/>
  <c r="BU55" i="10"/>
  <c r="BQ55" i="10"/>
  <c r="BM55" i="10"/>
  <c r="CK54" i="10"/>
  <c r="CG54" i="10"/>
  <c r="CC54" i="10"/>
  <c r="BY54" i="10"/>
  <c r="BU54" i="10"/>
  <c r="BQ54" i="10"/>
  <c r="BM54" i="10"/>
  <c r="CK53" i="10"/>
  <c r="CG53" i="10"/>
  <c r="CC53" i="10"/>
  <c r="BY53" i="10"/>
  <c r="BU53" i="10"/>
  <c r="BQ53" i="10"/>
  <c r="BM53" i="10"/>
  <c r="CK52" i="10"/>
  <c r="CG52" i="10"/>
  <c r="CC52" i="10"/>
  <c r="BY52" i="10"/>
  <c r="BU52" i="10"/>
  <c r="BQ52" i="10"/>
  <c r="BM52" i="10"/>
  <c r="CK51" i="10"/>
  <c r="CG51" i="10"/>
  <c r="CC51" i="10"/>
  <c r="BY51" i="10"/>
  <c r="BU51" i="10"/>
  <c r="BQ51" i="10"/>
  <c r="BM51" i="10"/>
  <c r="CK50" i="10"/>
  <c r="CG50" i="10"/>
  <c r="CC50" i="10"/>
  <c r="BY50" i="10"/>
  <c r="BU50" i="10"/>
  <c r="BQ50" i="10"/>
  <c r="BM50" i="10"/>
  <c r="CK49" i="10"/>
  <c r="CG49" i="10"/>
  <c r="CC49" i="10"/>
  <c r="BY49" i="10"/>
  <c r="BU49" i="10"/>
  <c r="BQ49" i="10"/>
  <c r="BM49" i="10"/>
  <c r="CK48" i="10"/>
  <c r="CG48" i="10"/>
  <c r="CC48" i="10"/>
  <c r="BY48" i="10"/>
  <c r="BU48" i="10"/>
  <c r="BQ48" i="10"/>
  <c r="BM48" i="10"/>
  <c r="CK47" i="10"/>
  <c r="CG47" i="10"/>
  <c r="CC47" i="10"/>
  <c r="BY47" i="10"/>
  <c r="BU47" i="10"/>
  <c r="BQ47" i="10"/>
  <c r="BM47" i="10"/>
  <c r="CK46" i="10"/>
  <c r="CG46" i="10"/>
  <c r="CC46" i="10"/>
  <c r="BY46" i="10"/>
  <c r="BU46" i="10"/>
  <c r="BQ46" i="10"/>
  <c r="BM46" i="10"/>
  <c r="CK45" i="10"/>
  <c r="CG45" i="10"/>
  <c r="CC45" i="10"/>
  <c r="BY45" i="10"/>
  <c r="BU45" i="10"/>
  <c r="BQ45" i="10"/>
  <c r="BM45" i="10"/>
  <c r="CK44" i="10"/>
  <c r="CG44" i="10"/>
  <c r="CC44" i="10"/>
  <c r="BY44" i="10"/>
  <c r="BU44" i="10"/>
  <c r="BQ44" i="10"/>
  <c r="BM44" i="10"/>
  <c r="CK43" i="10"/>
  <c r="CG43" i="10"/>
  <c r="CC43" i="10"/>
  <c r="BY43" i="10"/>
  <c r="BU43" i="10"/>
  <c r="BQ43" i="10"/>
  <c r="BM43" i="10"/>
  <c r="CK42" i="10"/>
  <c r="CG42" i="10"/>
  <c r="CC42" i="10"/>
  <c r="BY42" i="10"/>
  <c r="BU42" i="10"/>
  <c r="BQ42" i="10"/>
  <c r="BM42" i="10"/>
  <c r="CK41" i="10"/>
  <c r="CG41" i="10"/>
  <c r="CC41" i="10"/>
  <c r="BY41" i="10"/>
  <c r="BU41" i="10"/>
  <c r="BQ41" i="10"/>
  <c r="BM41" i="10"/>
  <c r="CK40" i="10"/>
  <c r="CG40" i="10"/>
  <c r="CC40" i="10"/>
  <c r="BY40" i="10"/>
  <c r="BU40" i="10"/>
  <c r="BQ40" i="10"/>
  <c r="BM40" i="10"/>
  <c r="CK39" i="10"/>
  <c r="CG39" i="10"/>
  <c r="CC39" i="10"/>
  <c r="BY39" i="10"/>
  <c r="BU39" i="10"/>
  <c r="BQ39" i="10"/>
  <c r="BM39" i="10"/>
  <c r="CK38" i="10"/>
  <c r="CG38" i="10"/>
  <c r="CC38" i="10"/>
  <c r="BY38" i="10"/>
  <c r="BU38" i="10"/>
  <c r="BQ38" i="10"/>
  <c r="BM38" i="10"/>
  <c r="CK37" i="10"/>
  <c r="CG37" i="10"/>
  <c r="CC37" i="10"/>
  <c r="BY37" i="10"/>
  <c r="BU37" i="10"/>
  <c r="BQ37" i="10"/>
  <c r="BM37" i="10"/>
  <c r="CK36" i="10"/>
  <c r="CG36" i="10"/>
  <c r="CC36" i="10"/>
  <c r="BY36" i="10"/>
  <c r="BU36" i="10"/>
  <c r="BQ36" i="10"/>
  <c r="BM36" i="10"/>
  <c r="CK35" i="10"/>
  <c r="CG35" i="10"/>
  <c r="CC35" i="10"/>
  <c r="BY35" i="10"/>
  <c r="BU35" i="10"/>
  <c r="BQ35" i="10"/>
  <c r="BM35" i="10"/>
  <c r="CK34" i="10"/>
  <c r="CG34" i="10"/>
  <c r="CC34" i="10"/>
  <c r="BY34" i="10"/>
  <c r="BU34" i="10"/>
  <c r="BQ34" i="10"/>
  <c r="BM34" i="10"/>
  <c r="CK33" i="10"/>
  <c r="CG33" i="10"/>
  <c r="CC33" i="10"/>
  <c r="BY33" i="10"/>
  <c r="BU33" i="10"/>
  <c r="BQ33" i="10"/>
  <c r="BM33" i="10"/>
  <c r="CK32" i="10"/>
  <c r="CG32" i="10"/>
  <c r="CC32" i="10"/>
  <c r="BY32" i="10"/>
  <c r="BU32" i="10"/>
  <c r="BQ32" i="10"/>
  <c r="BM32" i="10"/>
  <c r="CK31" i="10"/>
  <c r="CG31" i="10"/>
  <c r="CC31" i="10"/>
  <c r="BY31" i="10"/>
  <c r="BU31" i="10"/>
  <c r="BQ31" i="10"/>
  <c r="BM31" i="10"/>
  <c r="CK30" i="10"/>
  <c r="CG30" i="10"/>
  <c r="CC30" i="10"/>
  <c r="BY30" i="10"/>
  <c r="BU30" i="10"/>
  <c r="BQ30" i="10"/>
  <c r="BM30" i="10"/>
  <c r="CK29" i="10"/>
  <c r="CG29" i="10"/>
  <c r="CC29" i="10"/>
  <c r="BY29" i="10"/>
  <c r="BU29" i="10"/>
  <c r="BQ29" i="10"/>
  <c r="BM29" i="10"/>
  <c r="CK28" i="10"/>
  <c r="CG28" i="10"/>
  <c r="CC28" i="10"/>
  <c r="BY28" i="10"/>
  <c r="BU28" i="10"/>
  <c r="BQ28" i="10"/>
  <c r="BM28" i="10"/>
  <c r="CK27" i="10"/>
  <c r="CG27" i="10"/>
  <c r="CC27" i="10"/>
  <c r="BY27" i="10"/>
  <c r="BU27" i="10"/>
  <c r="BQ27" i="10"/>
  <c r="BM27" i="10"/>
  <c r="CK26" i="10"/>
  <c r="CG26" i="10"/>
  <c r="CC26" i="10"/>
  <c r="BY26" i="10"/>
  <c r="BU26" i="10"/>
  <c r="BQ26" i="10"/>
  <c r="BM26" i="10"/>
  <c r="CK25" i="10"/>
  <c r="CG25" i="10"/>
  <c r="CC25" i="10"/>
  <c r="BY25" i="10"/>
  <c r="BU25" i="10"/>
  <c r="BQ25" i="10"/>
  <c r="BM25" i="10"/>
  <c r="CK24" i="10"/>
  <c r="CG24" i="10"/>
  <c r="CC24" i="10"/>
  <c r="BY24" i="10"/>
  <c r="BU24" i="10"/>
  <c r="BQ24" i="10"/>
  <c r="BM24" i="10"/>
  <c r="CK23" i="10"/>
  <c r="CG23" i="10"/>
  <c r="CC23" i="10"/>
  <c r="BY23" i="10"/>
  <c r="BU23" i="10"/>
  <c r="BQ23" i="10"/>
  <c r="BM23" i="10"/>
  <c r="CK22" i="10"/>
  <c r="CG22" i="10"/>
  <c r="CC22" i="10"/>
  <c r="BY22" i="10"/>
  <c r="BU22" i="10"/>
  <c r="BQ22" i="10"/>
  <c r="BM22" i="10"/>
  <c r="CK21" i="10"/>
  <c r="CG21" i="10"/>
  <c r="CC21" i="10"/>
  <c r="BY21" i="10"/>
  <c r="BU21" i="10"/>
  <c r="BQ21" i="10"/>
  <c r="BM21" i="10"/>
  <c r="CK20" i="10"/>
  <c r="CG20" i="10"/>
  <c r="CC20" i="10"/>
  <c r="BY20" i="10"/>
  <c r="BU20" i="10"/>
  <c r="BQ20" i="10"/>
  <c r="BM20" i="10"/>
  <c r="CK19" i="10"/>
  <c r="CG19" i="10"/>
  <c r="CC19" i="10"/>
  <c r="BY19" i="10"/>
  <c r="BU19" i="10"/>
  <c r="BQ19" i="10"/>
  <c r="BM19" i="10"/>
  <c r="CK18" i="10"/>
  <c r="CG18" i="10"/>
  <c r="CC18" i="10"/>
  <c r="BY18" i="10"/>
  <c r="BU18" i="10"/>
  <c r="BQ18" i="10"/>
  <c r="BM18" i="10"/>
  <c r="CK17" i="10"/>
  <c r="CG17" i="10"/>
  <c r="CC17" i="10"/>
  <c r="BY17" i="10"/>
  <c r="BU17" i="10"/>
  <c r="BQ17" i="10"/>
  <c r="BM17" i="10"/>
  <c r="CK16" i="10"/>
  <c r="CG16" i="10"/>
  <c r="CC16" i="10"/>
  <c r="BY16" i="10"/>
  <c r="BU16" i="10"/>
  <c r="BQ16" i="10"/>
  <c r="BM16" i="10"/>
  <c r="CK15" i="10"/>
  <c r="CG15" i="10"/>
  <c r="CC15" i="10"/>
  <c r="BY15" i="10"/>
  <c r="BU15" i="10"/>
  <c r="BQ15" i="10"/>
  <c r="BM15" i="10"/>
  <c r="CK14" i="10"/>
  <c r="CG14" i="10"/>
  <c r="CC14" i="10"/>
  <c r="BY14" i="10"/>
  <c r="BU14" i="10"/>
  <c r="BQ14" i="10"/>
  <c r="BM14" i="10"/>
  <c r="CK13" i="10"/>
  <c r="CG13" i="10"/>
  <c r="CC13" i="10"/>
  <c r="BY13" i="10"/>
  <c r="BU13" i="10"/>
  <c r="BQ13" i="10"/>
  <c r="BM13" i="10"/>
  <c r="CK12" i="10"/>
  <c r="CG12" i="10"/>
  <c r="CC12" i="10"/>
  <c r="BY12" i="10"/>
  <c r="BU12" i="10"/>
  <c r="BQ12" i="10"/>
  <c r="BM12" i="10"/>
  <c r="CK11" i="10"/>
  <c r="CG11" i="10"/>
  <c r="CC11" i="10"/>
  <c r="BY11" i="10"/>
  <c r="BU11" i="10"/>
  <c r="BQ11" i="10"/>
  <c r="BM11" i="10"/>
  <c r="CK10" i="10"/>
  <c r="CG10" i="10"/>
  <c r="CC10" i="10"/>
  <c r="BY10" i="10"/>
  <c r="BU10" i="10"/>
  <c r="BQ10" i="10"/>
  <c r="BM10" i="10"/>
  <c r="CK9" i="10"/>
  <c r="CG9" i="10"/>
  <c r="CC9" i="10"/>
  <c r="BY9" i="10"/>
  <c r="BU9" i="10"/>
  <c r="BQ9" i="10"/>
  <c r="BM9" i="10"/>
  <c r="CK8" i="10"/>
  <c r="CG8" i="10"/>
  <c r="CC8" i="10"/>
  <c r="BY8" i="10"/>
  <c r="BU8" i="10"/>
  <c r="BQ8" i="10"/>
  <c r="BM8" i="10"/>
  <c r="CK7" i="10"/>
  <c r="CG7" i="10"/>
  <c r="CC7" i="10"/>
  <c r="BY7" i="10"/>
  <c r="BU7" i="10"/>
  <c r="BQ7" i="10"/>
  <c r="BM7" i="10"/>
  <c r="CK6" i="10"/>
  <c r="CG6" i="10"/>
  <c r="CC6" i="10"/>
  <c r="BY6" i="10"/>
  <c r="BU6" i="10"/>
  <c r="BQ6" i="10"/>
  <c r="BM6" i="10"/>
  <c r="CK5" i="10"/>
  <c r="CG5" i="10"/>
  <c r="CC5" i="10"/>
  <c r="BY5" i="10"/>
  <c r="BU5" i="10"/>
  <c r="BQ5" i="10"/>
  <c r="BM5" i="10"/>
  <c r="CC1" i="10"/>
  <c r="BZ1" i="10"/>
  <c r="BY1" i="10"/>
  <c r="BV1" i="10"/>
  <c r="BU1" i="10"/>
  <c r="BR1" i="10"/>
  <c r="BQ1" i="10"/>
  <c r="BN1" i="10"/>
  <c r="BM1" i="10"/>
  <c r="CK70" i="12"/>
  <c r="CG70" i="12"/>
  <c r="CC70" i="12"/>
  <c r="BY70" i="12"/>
  <c r="BU70" i="12"/>
  <c r="BQ70" i="12"/>
  <c r="BM70" i="12"/>
  <c r="CK69" i="12"/>
  <c r="CG69" i="12"/>
  <c r="CC69" i="12"/>
  <c r="BY69" i="12"/>
  <c r="BU69" i="12"/>
  <c r="BQ69" i="12"/>
  <c r="BM69" i="12"/>
  <c r="CK68" i="12"/>
  <c r="CG68" i="12"/>
  <c r="CC68" i="12"/>
  <c r="BY68" i="12"/>
  <c r="BU68" i="12"/>
  <c r="BQ68" i="12"/>
  <c r="BM68" i="12"/>
  <c r="CK67" i="12"/>
  <c r="CG67" i="12"/>
  <c r="CC67" i="12"/>
  <c r="BY67" i="12"/>
  <c r="BU67" i="12"/>
  <c r="BQ67" i="12"/>
  <c r="BM67" i="12"/>
  <c r="CK66" i="12"/>
  <c r="CG66" i="12"/>
  <c r="CC66" i="12"/>
  <c r="BY66" i="12"/>
  <c r="BU66" i="12"/>
  <c r="BQ66" i="12"/>
  <c r="BM66" i="12"/>
  <c r="CK65" i="12"/>
  <c r="CG65" i="12"/>
  <c r="CC65" i="12"/>
  <c r="BY65" i="12"/>
  <c r="BU65" i="12"/>
  <c r="BQ65" i="12"/>
  <c r="BM65" i="12"/>
  <c r="CK64" i="12"/>
  <c r="CG64" i="12"/>
  <c r="CC64" i="12"/>
  <c r="BY64" i="12"/>
  <c r="BU64" i="12"/>
  <c r="BQ64" i="12"/>
  <c r="BM64" i="12"/>
  <c r="CK63" i="12"/>
  <c r="CG63" i="12"/>
  <c r="CC63" i="12"/>
  <c r="BY63" i="12"/>
  <c r="BU63" i="12"/>
  <c r="BQ63" i="12"/>
  <c r="BM63" i="12"/>
  <c r="CK62" i="12"/>
  <c r="CG62" i="12"/>
  <c r="CC62" i="12"/>
  <c r="BY62" i="12"/>
  <c r="BU62" i="12"/>
  <c r="BQ62" i="12"/>
  <c r="BM62" i="12"/>
  <c r="CK61" i="12"/>
  <c r="CG61" i="12"/>
  <c r="CC61" i="12"/>
  <c r="BY61" i="12"/>
  <c r="BU61" i="12"/>
  <c r="BQ61" i="12"/>
  <c r="BM61" i="12"/>
  <c r="CK60" i="12"/>
  <c r="CG60" i="12"/>
  <c r="CC60" i="12"/>
  <c r="BY60" i="12"/>
  <c r="BU60" i="12"/>
  <c r="BQ60" i="12"/>
  <c r="BM60" i="12"/>
  <c r="CK59" i="12"/>
  <c r="CG59" i="12"/>
  <c r="CC59" i="12"/>
  <c r="BY59" i="12"/>
  <c r="BU59" i="12"/>
  <c r="BQ59" i="12"/>
  <c r="BM59" i="12"/>
  <c r="CK58" i="12"/>
  <c r="CG58" i="12"/>
  <c r="CC58" i="12"/>
  <c r="BY58" i="12"/>
  <c r="BU58" i="12"/>
  <c r="BQ58" i="12"/>
  <c r="BM58" i="12"/>
  <c r="CK57" i="12"/>
  <c r="CG57" i="12"/>
  <c r="CC57" i="12"/>
  <c r="BY57" i="12"/>
  <c r="BU57" i="12"/>
  <c r="BQ57" i="12"/>
  <c r="BM57" i="12"/>
  <c r="CK56" i="12"/>
  <c r="CG56" i="12"/>
  <c r="CC56" i="12"/>
  <c r="BY56" i="12"/>
  <c r="BU56" i="12"/>
  <c r="BQ56" i="12"/>
  <c r="BM56" i="12"/>
  <c r="CK55" i="12"/>
  <c r="CG55" i="12"/>
  <c r="CC55" i="12"/>
  <c r="BY55" i="12"/>
  <c r="BU55" i="12"/>
  <c r="BQ55" i="12"/>
  <c r="BM55" i="12"/>
  <c r="CK54" i="12"/>
  <c r="CG54" i="12"/>
  <c r="CC54" i="12"/>
  <c r="BY54" i="12"/>
  <c r="BU54" i="12"/>
  <c r="BQ54" i="12"/>
  <c r="BM54" i="12"/>
  <c r="CK53" i="12"/>
  <c r="CG53" i="12"/>
  <c r="CC53" i="12"/>
  <c r="BY53" i="12"/>
  <c r="BU53" i="12"/>
  <c r="BQ53" i="12"/>
  <c r="BM53" i="12"/>
  <c r="CK52" i="12"/>
  <c r="CG52" i="12"/>
  <c r="CC52" i="12"/>
  <c r="BY52" i="12"/>
  <c r="BU52" i="12"/>
  <c r="BQ52" i="12"/>
  <c r="BM52" i="12"/>
  <c r="CK51" i="12"/>
  <c r="CG51" i="12"/>
  <c r="CC51" i="12"/>
  <c r="BY51" i="12"/>
  <c r="BU51" i="12"/>
  <c r="BQ51" i="12"/>
  <c r="BM51" i="12"/>
  <c r="CK50" i="12"/>
  <c r="CG50" i="12"/>
  <c r="CC50" i="12"/>
  <c r="BY50" i="12"/>
  <c r="BU50" i="12"/>
  <c r="BQ50" i="12"/>
  <c r="BM50" i="12"/>
  <c r="CK49" i="12"/>
  <c r="CG49" i="12"/>
  <c r="CC49" i="12"/>
  <c r="BY49" i="12"/>
  <c r="BU49" i="12"/>
  <c r="BQ49" i="12"/>
  <c r="BM49" i="12"/>
  <c r="CK48" i="12"/>
  <c r="CG48" i="12"/>
  <c r="CC48" i="12"/>
  <c r="BY48" i="12"/>
  <c r="BU48" i="12"/>
  <c r="BQ48" i="12"/>
  <c r="BM48" i="12"/>
  <c r="CK47" i="12"/>
  <c r="CG47" i="12"/>
  <c r="CC47" i="12"/>
  <c r="BY47" i="12"/>
  <c r="BU47" i="12"/>
  <c r="BQ47" i="12"/>
  <c r="BM47" i="12"/>
  <c r="CK46" i="12"/>
  <c r="CG46" i="12"/>
  <c r="CC46" i="12"/>
  <c r="BY46" i="12"/>
  <c r="BU46" i="12"/>
  <c r="BQ46" i="12"/>
  <c r="BM46" i="12"/>
  <c r="CK45" i="12"/>
  <c r="CG45" i="12"/>
  <c r="CC45" i="12"/>
  <c r="BY45" i="12"/>
  <c r="BU45" i="12"/>
  <c r="BQ45" i="12"/>
  <c r="BM45" i="12"/>
  <c r="CK44" i="12"/>
  <c r="CG44" i="12"/>
  <c r="CC44" i="12"/>
  <c r="BY44" i="12"/>
  <c r="BU44" i="12"/>
  <c r="BQ44" i="12"/>
  <c r="BM44" i="12"/>
  <c r="CK43" i="12"/>
  <c r="CG43" i="12"/>
  <c r="CC43" i="12"/>
  <c r="BY43" i="12"/>
  <c r="BU43" i="12"/>
  <c r="BQ43" i="12"/>
  <c r="BM43" i="12"/>
  <c r="CK42" i="12"/>
  <c r="CG42" i="12"/>
  <c r="CC42" i="12"/>
  <c r="BY42" i="12"/>
  <c r="BU42" i="12"/>
  <c r="BQ42" i="12"/>
  <c r="BM42" i="12"/>
  <c r="CK41" i="12"/>
  <c r="CG41" i="12"/>
  <c r="CC41" i="12"/>
  <c r="BY41" i="12"/>
  <c r="BU41" i="12"/>
  <c r="BQ41" i="12"/>
  <c r="BM41" i="12"/>
  <c r="CK40" i="12"/>
  <c r="CG40" i="12"/>
  <c r="CC40" i="12"/>
  <c r="BY40" i="12"/>
  <c r="BU40" i="12"/>
  <c r="BQ40" i="12"/>
  <c r="BM40" i="12"/>
  <c r="CK39" i="12"/>
  <c r="CG39" i="12"/>
  <c r="CC39" i="12"/>
  <c r="BY39" i="12"/>
  <c r="BU39" i="12"/>
  <c r="BQ39" i="12"/>
  <c r="BM39" i="12"/>
  <c r="CK38" i="12"/>
  <c r="CG38" i="12"/>
  <c r="CC38" i="12"/>
  <c r="BY38" i="12"/>
  <c r="BU38" i="12"/>
  <c r="BQ38" i="12"/>
  <c r="BM38" i="12"/>
  <c r="CK37" i="12"/>
  <c r="CG37" i="12"/>
  <c r="CC37" i="12"/>
  <c r="BY37" i="12"/>
  <c r="BU37" i="12"/>
  <c r="BQ37" i="12"/>
  <c r="BM37" i="12"/>
  <c r="CK36" i="12"/>
  <c r="CG36" i="12"/>
  <c r="CC36" i="12"/>
  <c r="BY36" i="12"/>
  <c r="BU36" i="12"/>
  <c r="BQ36" i="12"/>
  <c r="BM36" i="12"/>
  <c r="CK35" i="12"/>
  <c r="CG35" i="12"/>
  <c r="CC35" i="12"/>
  <c r="BY35" i="12"/>
  <c r="BU35" i="12"/>
  <c r="BQ35" i="12"/>
  <c r="BM35" i="12"/>
  <c r="CK34" i="12"/>
  <c r="CG34" i="12"/>
  <c r="CC34" i="12"/>
  <c r="BY34" i="12"/>
  <c r="BU34" i="12"/>
  <c r="BQ34" i="12"/>
  <c r="BM34" i="12"/>
  <c r="CK33" i="12"/>
  <c r="CG33" i="12"/>
  <c r="CC33" i="12"/>
  <c r="BY33" i="12"/>
  <c r="BU33" i="12"/>
  <c r="BQ33" i="12"/>
  <c r="BM33" i="12"/>
  <c r="CK32" i="12"/>
  <c r="CG32" i="12"/>
  <c r="CC32" i="12"/>
  <c r="BY32" i="12"/>
  <c r="BU32" i="12"/>
  <c r="BQ32" i="12"/>
  <c r="BM32" i="12"/>
  <c r="CK31" i="12"/>
  <c r="CG31" i="12"/>
  <c r="CC31" i="12"/>
  <c r="BY31" i="12"/>
  <c r="BU31" i="12"/>
  <c r="BQ31" i="12"/>
  <c r="BM31" i="12"/>
  <c r="CK30" i="12"/>
  <c r="CG30" i="12"/>
  <c r="CC30" i="12"/>
  <c r="BY30" i="12"/>
  <c r="BU30" i="12"/>
  <c r="BQ30" i="12"/>
  <c r="BM30" i="12"/>
  <c r="CK29" i="12"/>
  <c r="CG29" i="12"/>
  <c r="CC29" i="12"/>
  <c r="BY29" i="12"/>
  <c r="BU29" i="12"/>
  <c r="BQ29" i="12"/>
  <c r="BM29" i="12"/>
  <c r="CK28" i="12"/>
  <c r="CG28" i="12"/>
  <c r="CC28" i="12"/>
  <c r="BY28" i="12"/>
  <c r="BU28" i="12"/>
  <c r="BQ28" i="12"/>
  <c r="BM28" i="12"/>
  <c r="CK27" i="12"/>
  <c r="CG27" i="12"/>
  <c r="CC27" i="12"/>
  <c r="BY27" i="12"/>
  <c r="BU27" i="12"/>
  <c r="BQ27" i="12"/>
  <c r="BM27" i="12"/>
  <c r="CK26" i="12"/>
  <c r="CG26" i="12"/>
  <c r="CC26" i="12"/>
  <c r="BY26" i="12"/>
  <c r="BU26" i="12"/>
  <c r="BQ26" i="12"/>
  <c r="BM26" i="12"/>
  <c r="CK25" i="12"/>
  <c r="CG25" i="12"/>
  <c r="CC25" i="12"/>
  <c r="BY25" i="12"/>
  <c r="BU25" i="12"/>
  <c r="BQ25" i="12"/>
  <c r="BM25" i="12"/>
  <c r="CK24" i="12"/>
  <c r="CG24" i="12"/>
  <c r="CC24" i="12"/>
  <c r="BY24" i="12"/>
  <c r="BU24" i="12"/>
  <c r="BQ24" i="12"/>
  <c r="BM24" i="12"/>
  <c r="CK23" i="12"/>
  <c r="CG23" i="12"/>
  <c r="CC23" i="12"/>
  <c r="BY23" i="12"/>
  <c r="BU23" i="12"/>
  <c r="BQ23" i="12"/>
  <c r="BM23" i="12"/>
  <c r="CK22" i="12"/>
  <c r="CG22" i="12"/>
  <c r="CC22" i="12"/>
  <c r="BY22" i="12"/>
  <c r="BU22" i="12"/>
  <c r="BQ22" i="12"/>
  <c r="BM22" i="12"/>
  <c r="CK21" i="12"/>
  <c r="CG21" i="12"/>
  <c r="CC21" i="12"/>
  <c r="BY21" i="12"/>
  <c r="BU21" i="12"/>
  <c r="BQ21" i="12"/>
  <c r="BM21" i="12"/>
  <c r="CK20" i="12"/>
  <c r="CG20" i="12"/>
  <c r="CC20" i="12"/>
  <c r="BY20" i="12"/>
  <c r="BU20" i="12"/>
  <c r="BQ20" i="12"/>
  <c r="BM20" i="12"/>
  <c r="CK19" i="12"/>
  <c r="CG19" i="12"/>
  <c r="CC19" i="12"/>
  <c r="BY19" i="12"/>
  <c r="BU19" i="12"/>
  <c r="BQ19" i="12"/>
  <c r="BM19" i="12"/>
  <c r="CK18" i="12"/>
  <c r="CG18" i="12"/>
  <c r="CC18" i="12"/>
  <c r="BY18" i="12"/>
  <c r="BU18" i="12"/>
  <c r="BQ18" i="12"/>
  <c r="BM18" i="12"/>
  <c r="CK17" i="12"/>
  <c r="CG17" i="12"/>
  <c r="CC17" i="12"/>
  <c r="BY17" i="12"/>
  <c r="BU17" i="12"/>
  <c r="BQ17" i="12"/>
  <c r="BM17" i="12"/>
  <c r="CK16" i="12"/>
  <c r="CG16" i="12"/>
  <c r="CC16" i="12"/>
  <c r="BY16" i="12"/>
  <c r="BU16" i="12"/>
  <c r="BQ16" i="12"/>
  <c r="BM16" i="12"/>
  <c r="CK15" i="12"/>
  <c r="CG15" i="12"/>
  <c r="CC15" i="12"/>
  <c r="BY15" i="12"/>
  <c r="BU15" i="12"/>
  <c r="BQ15" i="12"/>
  <c r="BM15" i="12"/>
  <c r="CK14" i="12"/>
  <c r="CG14" i="12"/>
  <c r="CC14" i="12"/>
  <c r="BY14" i="12"/>
  <c r="BU14" i="12"/>
  <c r="BQ14" i="12"/>
  <c r="BM14" i="12"/>
  <c r="CK13" i="12"/>
  <c r="CG13" i="12"/>
  <c r="CC13" i="12"/>
  <c r="BY13" i="12"/>
  <c r="BU13" i="12"/>
  <c r="BQ13" i="12"/>
  <c r="BM13" i="12"/>
  <c r="CK12" i="12"/>
  <c r="CG12" i="12"/>
  <c r="CC12" i="12"/>
  <c r="BY12" i="12"/>
  <c r="BU12" i="12"/>
  <c r="BQ12" i="12"/>
  <c r="BM12" i="12"/>
  <c r="CK11" i="12"/>
  <c r="CG11" i="12"/>
  <c r="CC11" i="12"/>
  <c r="BY11" i="12"/>
  <c r="BU11" i="12"/>
  <c r="BQ11" i="12"/>
  <c r="BM11" i="12"/>
  <c r="CK10" i="12"/>
  <c r="CG10" i="12"/>
  <c r="CC10" i="12"/>
  <c r="BY10" i="12"/>
  <c r="BU10" i="12"/>
  <c r="BQ10" i="12"/>
  <c r="BM10" i="12"/>
  <c r="CK9" i="12"/>
  <c r="CG9" i="12"/>
  <c r="CC9" i="12"/>
  <c r="BY9" i="12"/>
  <c r="BU9" i="12"/>
  <c r="BQ9" i="12"/>
  <c r="BM9" i="12"/>
  <c r="CK8" i="12"/>
  <c r="CG8" i="12"/>
  <c r="CC8" i="12"/>
  <c r="BY8" i="12"/>
  <c r="BU8" i="12"/>
  <c r="BQ8" i="12"/>
  <c r="BM8" i="12"/>
  <c r="CK7" i="12"/>
  <c r="CG7" i="12"/>
  <c r="CC7" i="12"/>
  <c r="BY7" i="12"/>
  <c r="BU7" i="12"/>
  <c r="BQ7" i="12"/>
  <c r="BM7" i="12"/>
  <c r="CK6" i="12"/>
  <c r="CG6" i="12"/>
  <c r="CC6" i="12"/>
  <c r="BY6" i="12"/>
  <c r="BU6" i="12"/>
  <c r="BQ6" i="12"/>
  <c r="BM6" i="12"/>
  <c r="CK5" i="12"/>
  <c r="CG5" i="12"/>
  <c r="CC5" i="12"/>
  <c r="BY5" i="12"/>
  <c r="BU5" i="12"/>
  <c r="BQ5" i="12"/>
  <c r="BM5" i="12"/>
  <c r="CC1" i="12"/>
  <c r="BZ1" i="12"/>
  <c r="BY1" i="12"/>
  <c r="BV1" i="12"/>
  <c r="BU1" i="12"/>
  <c r="BR1" i="12"/>
  <c r="BQ1" i="12"/>
  <c r="BN1" i="12"/>
  <c r="BM1" i="12"/>
  <c r="CK70" i="4"/>
  <c r="CG70" i="4"/>
  <c r="CC70" i="4"/>
  <c r="BY70" i="4"/>
  <c r="BM70" i="4"/>
  <c r="CK69" i="4"/>
  <c r="CG69" i="4"/>
  <c r="CC69" i="4"/>
  <c r="BY69" i="4"/>
  <c r="BU69" i="4"/>
  <c r="BQ69" i="4"/>
  <c r="BM69" i="4"/>
  <c r="CK68" i="4"/>
  <c r="CG68" i="4"/>
  <c r="CC68" i="4"/>
  <c r="BY68" i="4"/>
  <c r="BU68" i="4"/>
  <c r="BQ68" i="4"/>
  <c r="BM68" i="4"/>
  <c r="CK67" i="4"/>
  <c r="CG67" i="4"/>
  <c r="CC67" i="4"/>
  <c r="BY67" i="4"/>
  <c r="BU67" i="4"/>
  <c r="BQ67" i="4"/>
  <c r="BM67" i="4"/>
  <c r="CK66" i="4"/>
  <c r="CG66" i="4"/>
  <c r="CC66" i="4"/>
  <c r="BY66" i="4"/>
  <c r="BU66" i="4"/>
  <c r="BQ66" i="4"/>
  <c r="BM66" i="4"/>
  <c r="CK65" i="4"/>
  <c r="CG65" i="4"/>
  <c r="CC65" i="4"/>
  <c r="BY65" i="4"/>
  <c r="BU65" i="4"/>
  <c r="BQ65" i="4"/>
  <c r="BM65" i="4"/>
  <c r="CK64" i="4"/>
  <c r="CG64" i="4"/>
  <c r="CC64" i="4"/>
  <c r="BY64" i="4"/>
  <c r="BU64" i="4"/>
  <c r="BQ64" i="4"/>
  <c r="BM64" i="4"/>
  <c r="CK63" i="4"/>
  <c r="CG63" i="4"/>
  <c r="CC63" i="4"/>
  <c r="BY63" i="4"/>
  <c r="BU63" i="4"/>
  <c r="BQ63" i="4"/>
  <c r="BM63" i="4"/>
  <c r="CK62" i="4"/>
  <c r="CG62" i="4"/>
  <c r="CC62" i="4"/>
  <c r="BY62" i="4"/>
  <c r="BU62" i="4"/>
  <c r="BQ62" i="4"/>
  <c r="BM62" i="4"/>
  <c r="CK61" i="4"/>
  <c r="CG61" i="4"/>
  <c r="CC61" i="4"/>
  <c r="BY61" i="4"/>
  <c r="BU61" i="4"/>
  <c r="BQ61" i="4"/>
  <c r="BM61" i="4"/>
  <c r="CK60" i="4"/>
  <c r="CG60" i="4"/>
  <c r="CC60" i="4"/>
  <c r="BY60" i="4"/>
  <c r="BU60" i="4"/>
  <c r="BQ60" i="4"/>
  <c r="BM60" i="4"/>
  <c r="CK59" i="4"/>
  <c r="CG59" i="4"/>
  <c r="CC59" i="4"/>
  <c r="BY59" i="4"/>
  <c r="BU59" i="4"/>
  <c r="BQ59" i="4"/>
  <c r="BM59" i="4"/>
  <c r="CK58" i="4"/>
  <c r="CG58" i="4"/>
  <c r="CC58" i="4"/>
  <c r="BY58" i="4"/>
  <c r="BU58" i="4"/>
  <c r="BQ58" i="4"/>
  <c r="BM58" i="4"/>
  <c r="CK57" i="4"/>
  <c r="CG57" i="4"/>
  <c r="CC57" i="4"/>
  <c r="BY57" i="4"/>
  <c r="BU57" i="4"/>
  <c r="BQ57" i="4"/>
  <c r="BM57" i="4"/>
  <c r="CK56" i="4"/>
  <c r="CG56" i="4"/>
  <c r="CC56" i="4"/>
  <c r="BY56" i="4"/>
  <c r="BU56" i="4"/>
  <c r="BQ56" i="4"/>
  <c r="BM56" i="4"/>
  <c r="CK55" i="4"/>
  <c r="CG55" i="4"/>
  <c r="CC55" i="4"/>
  <c r="BY55" i="4"/>
  <c r="BU55" i="4"/>
  <c r="BQ55" i="4"/>
  <c r="BM55" i="4"/>
  <c r="CK54" i="4"/>
  <c r="CG54" i="4"/>
  <c r="CC54" i="4"/>
  <c r="BY54" i="4"/>
  <c r="BU54" i="4"/>
  <c r="BQ54" i="4"/>
  <c r="BM54" i="4"/>
  <c r="CK53" i="4"/>
  <c r="CG53" i="4"/>
  <c r="CC53" i="4"/>
  <c r="BY53" i="4"/>
  <c r="BU53" i="4"/>
  <c r="BQ53" i="4"/>
  <c r="BM53" i="4"/>
  <c r="CK52" i="4"/>
  <c r="CG52" i="4"/>
  <c r="CC52" i="4"/>
  <c r="BY52" i="4"/>
  <c r="BU52" i="4"/>
  <c r="BQ52" i="4"/>
  <c r="BM52" i="4"/>
  <c r="CK51" i="4"/>
  <c r="CG51" i="4"/>
  <c r="CC51" i="4"/>
  <c r="BY51" i="4"/>
  <c r="BU51" i="4"/>
  <c r="BQ51" i="4"/>
  <c r="BM51" i="4"/>
  <c r="CK50" i="4"/>
  <c r="CG50" i="4"/>
  <c r="CC50" i="4"/>
  <c r="BY50" i="4"/>
  <c r="BU50" i="4"/>
  <c r="BQ50" i="4"/>
  <c r="BM50" i="4"/>
  <c r="CK49" i="4"/>
  <c r="CG49" i="4"/>
  <c r="CC49" i="4"/>
  <c r="BY49" i="4"/>
  <c r="BU49" i="4"/>
  <c r="BQ49" i="4"/>
  <c r="BM49" i="4"/>
  <c r="CK48" i="4"/>
  <c r="CG48" i="4"/>
  <c r="CC48" i="4"/>
  <c r="BY48" i="4"/>
  <c r="BU48" i="4"/>
  <c r="BQ48" i="4"/>
  <c r="BM48" i="4"/>
  <c r="CK47" i="4"/>
  <c r="CG47" i="4"/>
  <c r="CC47" i="4"/>
  <c r="BY47" i="4"/>
  <c r="BU47" i="4"/>
  <c r="BQ47" i="4"/>
  <c r="BM47" i="4"/>
  <c r="CK46" i="4"/>
  <c r="CG46" i="4"/>
  <c r="CC46" i="4"/>
  <c r="BY46" i="4"/>
  <c r="BU46" i="4"/>
  <c r="BQ46" i="4"/>
  <c r="BM46" i="4"/>
  <c r="CK45" i="4"/>
  <c r="CG45" i="4"/>
  <c r="CC45" i="4"/>
  <c r="BY45" i="4"/>
  <c r="BU45" i="4"/>
  <c r="BQ45" i="4"/>
  <c r="BM45" i="4"/>
  <c r="CK44" i="4"/>
  <c r="CG44" i="4"/>
  <c r="CC44" i="4"/>
  <c r="BY44" i="4"/>
  <c r="BU44" i="4"/>
  <c r="BQ44" i="4"/>
  <c r="BM44" i="4"/>
  <c r="CK43" i="4"/>
  <c r="CG43" i="4"/>
  <c r="CC43" i="4"/>
  <c r="BY43" i="4"/>
  <c r="BU43" i="4"/>
  <c r="BQ43" i="4"/>
  <c r="BM43" i="4"/>
  <c r="CK42" i="4"/>
  <c r="CG42" i="4"/>
  <c r="CC42" i="4"/>
  <c r="BY42" i="4"/>
  <c r="BU42" i="4"/>
  <c r="BQ42" i="4"/>
  <c r="BM42" i="4"/>
  <c r="CK41" i="4"/>
  <c r="CG41" i="4"/>
  <c r="CC41" i="4"/>
  <c r="BY41" i="4"/>
  <c r="BU41" i="4"/>
  <c r="BQ41" i="4"/>
  <c r="BM41" i="4"/>
  <c r="CK40" i="4"/>
  <c r="CG40" i="4"/>
  <c r="CC40" i="4"/>
  <c r="BY40" i="4"/>
  <c r="BU40" i="4"/>
  <c r="BQ40" i="4"/>
  <c r="BM40" i="4"/>
  <c r="CK39" i="4"/>
  <c r="CG39" i="4"/>
  <c r="CC39" i="4"/>
  <c r="BY39" i="4"/>
  <c r="BU39" i="4"/>
  <c r="BQ39" i="4"/>
  <c r="BM39" i="4"/>
  <c r="CK38" i="4"/>
  <c r="CG38" i="4"/>
  <c r="CC38" i="4"/>
  <c r="BY38" i="4"/>
  <c r="BU38" i="4"/>
  <c r="BQ38" i="4"/>
  <c r="BM38" i="4"/>
  <c r="CK37" i="4"/>
  <c r="CG37" i="4"/>
  <c r="CC37" i="4"/>
  <c r="BY37" i="4"/>
  <c r="BU37" i="4"/>
  <c r="BQ37" i="4"/>
  <c r="BM37" i="4"/>
  <c r="CK36" i="4"/>
  <c r="CG36" i="4"/>
  <c r="CC36" i="4"/>
  <c r="BY36" i="4"/>
  <c r="BU36" i="4"/>
  <c r="BQ36" i="4"/>
  <c r="BM36" i="4"/>
  <c r="CK35" i="4"/>
  <c r="CG35" i="4"/>
  <c r="CC35" i="4"/>
  <c r="BY35" i="4"/>
  <c r="BU35" i="4"/>
  <c r="BQ35" i="4"/>
  <c r="BM35" i="4"/>
  <c r="CK34" i="4"/>
  <c r="CG34" i="4"/>
  <c r="CC34" i="4"/>
  <c r="BY34" i="4"/>
  <c r="BU34" i="4"/>
  <c r="BQ34" i="4"/>
  <c r="BM34" i="4"/>
  <c r="CK33" i="4"/>
  <c r="CG33" i="4"/>
  <c r="CC33" i="4"/>
  <c r="BY33" i="4"/>
  <c r="BU33" i="4"/>
  <c r="BQ33" i="4"/>
  <c r="BM33" i="4"/>
  <c r="CK32" i="4"/>
  <c r="CG32" i="4"/>
  <c r="CC32" i="4"/>
  <c r="BY32" i="4"/>
  <c r="BU32" i="4"/>
  <c r="BQ32" i="4"/>
  <c r="BM32" i="4"/>
  <c r="CK31" i="4"/>
  <c r="CG31" i="4"/>
  <c r="CC31" i="4"/>
  <c r="BY31" i="4"/>
  <c r="BU31" i="4"/>
  <c r="BQ31" i="4"/>
  <c r="BM31" i="4"/>
  <c r="CK30" i="4"/>
  <c r="CG30" i="4"/>
  <c r="CC30" i="4"/>
  <c r="BY30" i="4"/>
  <c r="BU30" i="4"/>
  <c r="BQ30" i="4"/>
  <c r="BM30" i="4"/>
  <c r="CK29" i="4"/>
  <c r="CG29" i="4"/>
  <c r="CC29" i="4"/>
  <c r="BY29" i="4"/>
  <c r="BU29" i="4"/>
  <c r="BQ29" i="4"/>
  <c r="BM29" i="4"/>
  <c r="CK28" i="4"/>
  <c r="CG28" i="4"/>
  <c r="CC28" i="4"/>
  <c r="BY28" i="4"/>
  <c r="BU28" i="4"/>
  <c r="BQ28" i="4"/>
  <c r="BM28" i="4"/>
  <c r="CK27" i="4"/>
  <c r="CG27" i="4"/>
  <c r="CC27" i="4"/>
  <c r="BY27" i="4"/>
  <c r="BU27" i="4"/>
  <c r="BQ27" i="4"/>
  <c r="BM27" i="4"/>
  <c r="CK26" i="4"/>
  <c r="CG26" i="4"/>
  <c r="CC26" i="4"/>
  <c r="BY26" i="4"/>
  <c r="BU26" i="4"/>
  <c r="BQ26" i="4"/>
  <c r="BM26" i="4"/>
  <c r="CK25" i="4"/>
  <c r="CG25" i="4"/>
  <c r="CC25" i="4"/>
  <c r="BY25" i="4"/>
  <c r="BU25" i="4"/>
  <c r="BQ25" i="4"/>
  <c r="BM25" i="4"/>
  <c r="CK24" i="4"/>
  <c r="CG24" i="4"/>
  <c r="CC24" i="4"/>
  <c r="BY24" i="4"/>
  <c r="BU24" i="4"/>
  <c r="BQ24" i="4"/>
  <c r="BM24" i="4"/>
  <c r="CK23" i="4"/>
  <c r="CG23" i="4"/>
  <c r="CC23" i="4"/>
  <c r="BY23" i="4"/>
  <c r="BU23" i="4"/>
  <c r="BQ23" i="4"/>
  <c r="BM23" i="4"/>
  <c r="CK22" i="4"/>
  <c r="CG22" i="4"/>
  <c r="CC22" i="4"/>
  <c r="BY22" i="4"/>
  <c r="BU22" i="4"/>
  <c r="BQ22" i="4"/>
  <c r="BM22" i="4"/>
  <c r="CK21" i="4"/>
  <c r="CG21" i="4"/>
  <c r="CC21" i="4"/>
  <c r="BY21" i="4"/>
  <c r="BU21" i="4"/>
  <c r="BQ21" i="4"/>
  <c r="BM21" i="4"/>
  <c r="CK20" i="4"/>
  <c r="CG20" i="4"/>
  <c r="CC20" i="4"/>
  <c r="BY20" i="4"/>
  <c r="BU20" i="4"/>
  <c r="BQ20" i="4"/>
  <c r="BM20" i="4"/>
  <c r="CK19" i="4"/>
  <c r="CG19" i="4"/>
  <c r="CC19" i="4"/>
  <c r="BY19" i="4"/>
  <c r="BU19" i="4"/>
  <c r="BQ19" i="4"/>
  <c r="BM19" i="4"/>
  <c r="CK18" i="4"/>
  <c r="CG18" i="4"/>
  <c r="CC18" i="4"/>
  <c r="BY18" i="4"/>
  <c r="BU18" i="4"/>
  <c r="BQ18" i="4"/>
  <c r="BM18" i="4"/>
  <c r="CK17" i="4"/>
  <c r="CG17" i="4"/>
  <c r="CC17" i="4"/>
  <c r="BY17" i="4"/>
  <c r="BU17" i="4"/>
  <c r="BQ17" i="4"/>
  <c r="BM17" i="4"/>
  <c r="CK16" i="4"/>
  <c r="CG16" i="4"/>
  <c r="CC16" i="4"/>
  <c r="BY16" i="4"/>
  <c r="BU16" i="4"/>
  <c r="BQ16" i="4"/>
  <c r="BM16" i="4"/>
  <c r="CK15" i="4"/>
  <c r="CG15" i="4"/>
  <c r="CC15" i="4"/>
  <c r="BY15" i="4"/>
  <c r="BU15" i="4"/>
  <c r="BQ15" i="4"/>
  <c r="BM15" i="4"/>
  <c r="CK14" i="4"/>
  <c r="CG14" i="4"/>
  <c r="CC14" i="4"/>
  <c r="BY14" i="4"/>
  <c r="BU14" i="4"/>
  <c r="BQ14" i="4"/>
  <c r="BM14" i="4"/>
  <c r="CK13" i="4"/>
  <c r="CG13" i="4"/>
  <c r="CC13" i="4"/>
  <c r="BY13" i="4"/>
  <c r="BU13" i="4"/>
  <c r="BQ13" i="4"/>
  <c r="BM13" i="4"/>
  <c r="CK12" i="4"/>
  <c r="CG12" i="4"/>
  <c r="CC12" i="4"/>
  <c r="BY12" i="4"/>
  <c r="BU12" i="4"/>
  <c r="BQ12" i="4"/>
  <c r="BM12" i="4"/>
  <c r="CK11" i="4"/>
  <c r="CG11" i="4"/>
  <c r="CC11" i="4"/>
  <c r="BY11" i="4"/>
  <c r="BU11" i="4"/>
  <c r="BQ11" i="4"/>
  <c r="BM11" i="4"/>
  <c r="CK10" i="4"/>
  <c r="CG10" i="4"/>
  <c r="CC10" i="4"/>
  <c r="BY10" i="4"/>
  <c r="BU10" i="4"/>
  <c r="BQ10" i="4"/>
  <c r="BM10" i="4"/>
  <c r="CK9" i="4"/>
  <c r="CG9" i="4"/>
  <c r="CC9" i="4"/>
  <c r="BY9" i="4"/>
  <c r="BU9" i="4"/>
  <c r="BQ9" i="4"/>
  <c r="BM9" i="4"/>
  <c r="CK8" i="4"/>
  <c r="CG8" i="4"/>
  <c r="CC8" i="4"/>
  <c r="BY8" i="4"/>
  <c r="BU8" i="4"/>
  <c r="BQ8" i="4"/>
  <c r="BM8" i="4"/>
  <c r="CK7" i="4"/>
  <c r="CG7" i="4"/>
  <c r="CC7" i="4"/>
  <c r="BY7" i="4"/>
  <c r="BU7" i="4"/>
  <c r="BQ7" i="4"/>
  <c r="BM7" i="4"/>
  <c r="CK6" i="4"/>
  <c r="CG6" i="4"/>
  <c r="CC6" i="4"/>
  <c r="BY6" i="4"/>
  <c r="BU6" i="4"/>
  <c r="BQ6" i="4"/>
  <c r="BM6" i="4"/>
  <c r="CK5" i="4"/>
  <c r="CG5" i="4"/>
  <c r="CC5" i="4"/>
  <c r="BY5" i="4"/>
  <c r="BU5" i="4"/>
  <c r="BQ5" i="4"/>
  <c r="BM5" i="4"/>
  <c r="CC1" i="4"/>
  <c r="BZ1" i="4"/>
  <c r="BY1" i="4"/>
  <c r="BV1" i="4"/>
  <c r="BU1" i="4"/>
  <c r="BR1" i="4"/>
  <c r="BQ1" i="4"/>
  <c r="BN1" i="4"/>
  <c r="BM1" i="4"/>
  <c r="A39" i="13"/>
  <c r="A40" i="13"/>
  <c r="A42" i="13"/>
  <c r="A41" i="13"/>
  <c r="A37" i="13"/>
  <c r="A36" i="13"/>
  <c r="A27" i="13"/>
  <c r="A26" i="13"/>
  <c r="A25" i="13"/>
  <c r="A24" i="13"/>
  <c r="A23" i="13"/>
  <c r="A22" i="13"/>
  <c r="A21" i="13"/>
  <c r="A20" i="13"/>
  <c r="A19" i="13"/>
  <c r="A18" i="13"/>
  <c r="E14" i="13"/>
  <c r="E12" i="13"/>
  <c r="E11" i="13"/>
  <c r="E10" i="13"/>
  <c r="B6" i="13"/>
  <c r="B13" i="13" l="1"/>
  <c r="B52" i="13"/>
  <c r="B54" i="13"/>
  <c r="B56" i="13"/>
  <c r="F52" i="13"/>
  <c r="F54" i="13"/>
  <c r="B12" i="13"/>
  <c r="B14" i="13"/>
  <c r="B53" i="13"/>
  <c r="B55" i="13"/>
  <c r="B57" i="13"/>
  <c r="F53" i="13"/>
  <c r="F55" i="13"/>
  <c r="B18" i="13"/>
  <c r="C18" i="13"/>
  <c r="U6" i="4"/>
  <c r="U7" i="4"/>
  <c r="U8" i="4"/>
  <c r="U9" i="4"/>
  <c r="U10" i="4"/>
  <c r="U11" i="4"/>
  <c r="U12" i="4"/>
  <c r="Y6" i="4"/>
  <c r="Y7" i="4"/>
  <c r="Y8" i="4"/>
  <c r="Y9" i="4"/>
  <c r="Y10" i="4"/>
  <c r="Y11" i="4"/>
  <c r="Y12" i="4"/>
  <c r="Y13" i="4"/>
  <c r="AC6" i="4"/>
  <c r="AC7" i="4"/>
  <c r="AC8" i="4"/>
  <c r="AC9" i="4"/>
  <c r="AC10" i="4"/>
  <c r="AC11" i="4"/>
  <c r="AC12" i="4"/>
  <c r="AG6" i="4"/>
  <c r="AG7" i="4"/>
  <c r="AG8" i="4"/>
  <c r="AG9" i="4"/>
  <c r="AG10" i="4"/>
  <c r="AG11" i="4"/>
  <c r="AG12" i="4"/>
  <c r="AK6" i="4"/>
  <c r="AK7" i="4"/>
  <c r="AK8" i="4"/>
  <c r="AK9" i="4"/>
  <c r="AK10" i="4"/>
  <c r="AK11" i="4"/>
  <c r="AK12" i="4"/>
  <c r="AK13" i="4"/>
  <c r="AO6" i="4"/>
  <c r="AO7" i="4"/>
  <c r="AO8" i="4"/>
  <c r="AO9" i="4"/>
  <c r="AO10" i="4"/>
  <c r="AO11" i="4"/>
  <c r="AO12" i="4"/>
  <c r="AS6" i="4"/>
  <c r="AS7" i="4"/>
  <c r="AS8" i="4"/>
  <c r="AS9" i="4"/>
  <c r="AS10" i="4"/>
  <c r="AS11" i="4"/>
  <c r="AS12" i="4"/>
  <c r="AW6" i="4"/>
  <c r="AW7" i="4"/>
  <c r="AW8" i="4"/>
  <c r="AW9" i="4"/>
  <c r="AW10" i="4"/>
  <c r="AW11" i="4"/>
  <c r="AW12" i="4"/>
  <c r="BA6" i="4"/>
  <c r="BA7" i="4"/>
  <c r="BA8" i="4"/>
  <c r="BA9" i="4"/>
  <c r="BA10" i="4"/>
  <c r="BA11" i="4"/>
  <c r="BA12" i="4"/>
  <c r="BA13" i="4"/>
  <c r="DA6" i="4"/>
  <c r="DA7" i="4"/>
  <c r="DA8" i="4"/>
  <c r="DA9" i="4"/>
  <c r="DA10" i="4"/>
  <c r="DA11" i="4"/>
  <c r="DA12" i="4"/>
  <c r="DA13" i="4"/>
  <c r="CW6" i="4"/>
  <c r="CW7" i="4"/>
  <c r="CW8" i="4"/>
  <c r="CW9" i="4"/>
  <c r="CW10" i="4"/>
  <c r="CW11" i="4"/>
  <c r="CW12" i="4"/>
  <c r="CW13" i="4"/>
  <c r="CS6" i="4"/>
  <c r="CS7" i="4"/>
  <c r="CS8" i="4"/>
  <c r="CS9" i="4"/>
  <c r="CS10" i="4"/>
  <c r="CS11" i="4"/>
  <c r="CS12" i="4"/>
  <c r="CS13" i="4"/>
  <c r="CS14" i="4"/>
  <c r="CO6" i="4"/>
  <c r="CO7" i="4"/>
  <c r="CO8" i="4"/>
  <c r="CO9" i="4"/>
  <c r="CO10" i="4"/>
  <c r="CO11" i="4"/>
  <c r="CO12" i="4"/>
  <c r="CO13" i="4"/>
  <c r="BI6" i="4"/>
  <c r="BI7" i="4"/>
  <c r="BI8" i="4"/>
  <c r="BI9" i="4"/>
  <c r="BI10" i="4"/>
  <c r="BI11" i="4"/>
  <c r="BI12" i="4"/>
  <c r="BI13" i="4"/>
  <c r="BE6" i="4"/>
  <c r="BE7" i="4"/>
  <c r="BE8" i="4"/>
  <c r="BE9" i="4"/>
  <c r="BE10" i="4"/>
  <c r="BE11" i="4"/>
  <c r="BE12" i="4"/>
  <c r="BE13" i="4"/>
  <c r="BI6" i="10" l="1"/>
  <c r="DM70" i="12"/>
  <c r="DM69" i="12"/>
  <c r="DM68" i="12"/>
  <c r="DM67" i="12"/>
  <c r="DM66" i="12"/>
  <c r="DM65" i="12"/>
  <c r="DM64" i="12"/>
  <c r="DM63" i="12"/>
  <c r="DM62" i="12"/>
  <c r="DM61" i="12"/>
  <c r="DM60" i="12"/>
  <c r="DM59" i="12"/>
  <c r="DM58" i="12"/>
  <c r="DM57" i="12"/>
  <c r="DM56" i="12"/>
  <c r="DM55" i="12"/>
  <c r="DM54" i="12"/>
  <c r="DM53" i="12"/>
  <c r="DM52" i="12"/>
  <c r="DM51" i="12"/>
  <c r="DM50" i="12"/>
  <c r="DM49" i="12"/>
  <c r="DM48" i="12"/>
  <c r="DM47" i="12"/>
  <c r="DM46" i="12"/>
  <c r="DM45" i="12"/>
  <c r="DM44" i="12"/>
  <c r="DM43" i="12"/>
  <c r="DM42" i="12"/>
  <c r="DM41" i="12"/>
  <c r="DM40" i="12"/>
  <c r="DM39" i="12"/>
  <c r="DM38" i="12"/>
  <c r="DM37" i="12"/>
  <c r="DM36" i="12"/>
  <c r="DM35" i="12"/>
  <c r="DM34" i="12"/>
  <c r="DM33" i="12"/>
  <c r="DM32" i="12"/>
  <c r="DM31" i="12"/>
  <c r="DM30" i="12"/>
  <c r="DM29" i="12"/>
  <c r="DM28" i="12"/>
  <c r="DM27" i="12"/>
  <c r="DM26" i="12"/>
  <c r="DM25" i="12"/>
  <c r="DM24" i="12"/>
  <c r="DM23" i="12"/>
  <c r="DM22" i="12"/>
  <c r="DM21" i="12"/>
  <c r="DM20" i="12"/>
  <c r="DM19" i="12"/>
  <c r="DM18" i="12"/>
  <c r="DM17" i="12"/>
  <c r="DM16" i="12"/>
  <c r="DM15" i="12"/>
  <c r="DM14" i="12"/>
  <c r="DM13" i="12"/>
  <c r="DM12" i="12"/>
  <c r="DM11" i="12"/>
  <c r="DM10" i="12"/>
  <c r="DM9" i="12"/>
  <c r="DM8" i="12"/>
  <c r="DM7" i="12"/>
  <c r="DM6" i="12"/>
  <c r="DM5" i="12"/>
  <c r="DM70" i="4" l="1"/>
  <c r="DM69" i="4"/>
  <c r="DM68" i="4"/>
  <c r="DM67" i="4"/>
  <c r="DM66" i="4"/>
  <c r="DM65" i="4"/>
  <c r="DM64" i="4"/>
  <c r="DM63" i="4"/>
  <c r="DM62" i="4"/>
  <c r="DM61" i="4"/>
  <c r="DM60" i="4"/>
  <c r="DM59" i="4"/>
  <c r="DM58" i="4"/>
  <c r="DM57" i="4"/>
  <c r="DM56" i="4"/>
  <c r="DM55" i="4"/>
  <c r="DM54" i="4"/>
  <c r="DM53" i="4"/>
  <c r="DM52" i="4"/>
  <c r="DM51" i="4"/>
  <c r="DM50" i="4"/>
  <c r="DM49" i="4"/>
  <c r="DM48" i="4"/>
  <c r="DM47" i="4"/>
  <c r="DM46" i="4"/>
  <c r="DM45" i="4"/>
  <c r="DM44" i="4"/>
  <c r="DM43" i="4"/>
  <c r="DM42" i="4"/>
  <c r="DM41" i="4"/>
  <c r="DM40" i="4"/>
  <c r="DM39" i="4"/>
  <c r="DM38" i="4"/>
  <c r="DM37" i="4"/>
  <c r="DM36" i="4"/>
  <c r="DM35" i="4"/>
  <c r="DM34" i="4"/>
  <c r="DM33" i="4"/>
  <c r="DM32" i="4"/>
  <c r="DM31" i="4"/>
  <c r="DM30" i="4"/>
  <c r="DM29" i="4"/>
  <c r="DM28" i="4"/>
  <c r="DM27" i="4"/>
  <c r="DM26" i="4"/>
  <c r="DM25" i="4"/>
  <c r="DM24" i="4"/>
  <c r="DM23" i="4"/>
  <c r="DM22" i="4"/>
  <c r="DM21" i="4"/>
  <c r="DM20" i="4"/>
  <c r="DM19" i="4"/>
  <c r="DM18" i="4"/>
  <c r="DM17" i="4"/>
  <c r="DM16" i="4"/>
  <c r="DM15" i="4"/>
  <c r="DM14" i="4"/>
  <c r="DM13" i="4"/>
  <c r="DM12" i="4"/>
  <c r="DM11" i="4"/>
  <c r="DM10" i="4"/>
  <c r="DM9" i="4"/>
  <c r="DM8" i="4"/>
  <c r="DM7" i="4"/>
  <c r="DM6" i="4"/>
  <c r="DM5" i="4"/>
  <c r="DM70" i="10"/>
  <c r="DM69" i="10"/>
  <c r="DM68" i="10"/>
  <c r="DM67" i="10"/>
  <c r="DM66" i="10"/>
  <c r="DM65" i="10"/>
  <c r="DM64" i="10"/>
  <c r="DM63" i="10"/>
  <c r="DM62" i="10"/>
  <c r="DM61" i="10"/>
  <c r="DM60" i="10"/>
  <c r="DM59" i="10"/>
  <c r="DM58" i="10"/>
  <c r="DM57" i="10"/>
  <c r="DM56" i="10"/>
  <c r="DM55" i="10"/>
  <c r="DM54" i="10"/>
  <c r="DM53" i="10"/>
  <c r="DM52" i="10"/>
  <c r="DM51" i="10"/>
  <c r="DM50" i="10"/>
  <c r="DM49" i="10"/>
  <c r="DM48" i="10"/>
  <c r="DM47" i="10"/>
  <c r="DM46" i="10"/>
  <c r="DM45" i="10"/>
  <c r="DM44" i="10"/>
  <c r="DM43" i="10"/>
  <c r="DM42" i="10"/>
  <c r="DM41" i="10"/>
  <c r="DM40" i="10"/>
  <c r="DM39" i="10"/>
  <c r="DM38" i="10"/>
  <c r="DM37" i="10"/>
  <c r="DM36" i="10"/>
  <c r="DM35" i="10"/>
  <c r="DM34" i="10"/>
  <c r="DM33" i="10"/>
  <c r="DM32" i="10"/>
  <c r="DM31" i="10"/>
  <c r="DM30" i="10"/>
  <c r="DM29" i="10"/>
  <c r="DM28" i="10"/>
  <c r="DM27" i="10"/>
  <c r="DM26" i="10"/>
  <c r="DM25" i="10"/>
  <c r="DM24" i="10"/>
  <c r="DM23" i="10"/>
  <c r="DM22" i="10"/>
  <c r="DM21" i="10"/>
  <c r="DM20" i="10"/>
  <c r="DM19" i="10"/>
  <c r="DM18" i="10"/>
  <c r="DM17" i="10"/>
  <c r="DM16" i="10"/>
  <c r="DM15" i="10"/>
  <c r="DM14" i="10"/>
  <c r="DM13" i="10"/>
  <c r="DM12" i="10"/>
  <c r="DM11" i="10"/>
  <c r="DM10" i="10"/>
  <c r="DM9" i="10"/>
  <c r="DM8" i="10"/>
  <c r="DM7" i="10"/>
  <c r="DM6" i="10"/>
  <c r="DM5" i="10"/>
  <c r="DI70" i="12" l="1"/>
  <c r="DI69" i="12"/>
  <c r="DI68" i="12"/>
  <c r="DI67" i="12"/>
  <c r="DI66" i="12"/>
  <c r="DI65" i="12"/>
  <c r="DI64" i="12"/>
  <c r="DI63" i="12"/>
  <c r="DI62" i="12"/>
  <c r="DI61" i="12"/>
  <c r="DI60" i="12"/>
  <c r="DI59" i="12"/>
  <c r="DI58" i="12"/>
  <c r="DI57" i="12"/>
  <c r="DI56" i="12"/>
  <c r="DI55" i="12"/>
  <c r="DI54" i="12"/>
  <c r="DI53" i="12"/>
  <c r="DI52" i="12"/>
  <c r="DI51" i="12"/>
  <c r="DI50" i="12"/>
  <c r="DI49" i="12"/>
  <c r="DI48" i="12"/>
  <c r="DI47" i="12"/>
  <c r="DI46" i="12"/>
  <c r="DI45" i="12"/>
  <c r="DI44" i="12"/>
  <c r="DI43" i="12"/>
  <c r="DI42" i="12"/>
  <c r="DI41" i="12"/>
  <c r="DI40" i="12"/>
  <c r="DI39" i="12"/>
  <c r="DI38" i="12"/>
  <c r="DI37" i="12"/>
  <c r="DI36" i="12"/>
  <c r="DI35" i="12"/>
  <c r="DI34" i="12"/>
  <c r="DI33" i="12"/>
  <c r="DI32" i="12"/>
  <c r="DI31" i="12"/>
  <c r="DI30" i="12"/>
  <c r="DI29" i="12"/>
  <c r="DI28" i="12"/>
  <c r="DI27" i="12"/>
  <c r="DI26" i="12"/>
  <c r="DI25" i="12"/>
  <c r="DI24" i="12"/>
  <c r="DI23" i="12"/>
  <c r="DI22" i="12"/>
  <c r="DI21" i="12"/>
  <c r="DI20" i="12"/>
  <c r="DI19" i="12"/>
  <c r="DI18" i="12"/>
  <c r="DI17" i="12"/>
  <c r="DI16" i="12"/>
  <c r="DI15" i="12"/>
  <c r="DI14" i="12"/>
  <c r="DI13" i="12"/>
  <c r="DI12" i="12"/>
  <c r="DI11" i="12"/>
  <c r="DI10" i="12"/>
  <c r="DI9" i="12"/>
  <c r="DI8" i="12"/>
  <c r="DI7" i="12"/>
  <c r="DI6" i="12"/>
  <c r="DI5" i="12"/>
  <c r="DI70" i="4"/>
  <c r="DI69" i="4"/>
  <c r="DI68" i="4"/>
  <c r="DI67" i="4"/>
  <c r="DI66" i="4"/>
  <c r="DI65" i="4"/>
  <c r="DI64" i="4"/>
  <c r="DI63" i="4"/>
  <c r="DI62" i="4"/>
  <c r="DI61" i="4"/>
  <c r="DI60" i="4"/>
  <c r="DI59" i="4"/>
  <c r="DI58" i="4"/>
  <c r="DI57" i="4"/>
  <c r="DI56" i="4"/>
  <c r="DI55" i="4"/>
  <c r="DI54" i="4"/>
  <c r="DI53" i="4"/>
  <c r="DI52" i="4"/>
  <c r="DI51" i="4"/>
  <c r="DI50" i="4"/>
  <c r="DI49" i="4"/>
  <c r="DI48" i="4"/>
  <c r="DI47" i="4"/>
  <c r="DI46" i="4"/>
  <c r="DI45" i="4"/>
  <c r="DI44" i="4"/>
  <c r="DI43" i="4"/>
  <c r="DI42" i="4"/>
  <c r="DI41" i="4"/>
  <c r="DI40" i="4"/>
  <c r="DI39" i="4"/>
  <c r="DI38" i="4"/>
  <c r="DI37" i="4"/>
  <c r="DI36" i="4"/>
  <c r="DI35" i="4"/>
  <c r="DI34" i="4"/>
  <c r="DI33" i="4"/>
  <c r="DI32" i="4"/>
  <c r="DI31" i="4"/>
  <c r="DI30" i="4"/>
  <c r="DI29" i="4"/>
  <c r="DI28" i="4"/>
  <c r="DI27" i="4"/>
  <c r="DI26" i="4"/>
  <c r="DI25" i="4"/>
  <c r="DI24" i="4"/>
  <c r="DI23" i="4"/>
  <c r="DI22" i="4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70" i="10"/>
  <c r="DI69" i="10"/>
  <c r="DI68" i="10"/>
  <c r="DI67" i="10"/>
  <c r="DI66" i="10"/>
  <c r="DI65" i="10"/>
  <c r="DI64" i="10"/>
  <c r="DI63" i="10"/>
  <c r="DI62" i="10"/>
  <c r="DI61" i="10"/>
  <c r="DI60" i="10"/>
  <c r="DI59" i="10"/>
  <c r="DI58" i="10"/>
  <c r="DI57" i="10"/>
  <c r="DI56" i="10"/>
  <c r="DI55" i="10"/>
  <c r="DI54" i="10"/>
  <c r="DI53" i="10"/>
  <c r="DI52" i="10"/>
  <c r="DI51" i="10"/>
  <c r="DI50" i="10"/>
  <c r="DI49" i="10"/>
  <c r="DI48" i="10"/>
  <c r="DI47" i="10"/>
  <c r="DI46" i="10"/>
  <c r="DI45" i="10"/>
  <c r="DI44" i="10"/>
  <c r="DI43" i="10"/>
  <c r="DI42" i="10"/>
  <c r="DI41" i="10"/>
  <c r="DI40" i="10"/>
  <c r="DI39" i="10"/>
  <c r="DI38" i="10"/>
  <c r="DI37" i="10"/>
  <c r="DI36" i="10"/>
  <c r="DI35" i="10"/>
  <c r="DI34" i="10"/>
  <c r="DI33" i="10"/>
  <c r="DI32" i="10"/>
  <c r="DI31" i="10"/>
  <c r="DI30" i="10"/>
  <c r="DI29" i="10"/>
  <c r="DI28" i="10"/>
  <c r="DI27" i="10"/>
  <c r="DI26" i="10"/>
  <c r="DI25" i="10"/>
  <c r="DI24" i="10"/>
  <c r="DI23" i="10"/>
  <c r="DI22" i="10"/>
  <c r="DI21" i="10"/>
  <c r="DI20" i="10"/>
  <c r="DI19" i="10"/>
  <c r="DI18" i="10"/>
  <c r="DI17" i="10"/>
  <c r="DI16" i="10"/>
  <c r="DI15" i="10"/>
  <c r="DI14" i="10"/>
  <c r="DI13" i="10"/>
  <c r="DI12" i="10"/>
  <c r="DI11" i="10"/>
  <c r="DI10" i="10"/>
  <c r="DI9" i="10"/>
  <c r="DI8" i="10"/>
  <c r="DI7" i="10"/>
  <c r="DI6" i="10"/>
  <c r="DI5" i="10"/>
  <c r="H9" i="9"/>
  <c r="U1" i="12" l="1"/>
  <c r="V1" i="12"/>
  <c r="Y1" i="12"/>
  <c r="Z1" i="12"/>
  <c r="AC1" i="12"/>
  <c r="AD1" i="12"/>
  <c r="AG1" i="12"/>
  <c r="AH1" i="12"/>
  <c r="AK1" i="12"/>
  <c r="AL1" i="12"/>
  <c r="AO1" i="12"/>
  <c r="AP1" i="12"/>
  <c r="AS1" i="12"/>
  <c r="AT1" i="12"/>
  <c r="AW1" i="12"/>
  <c r="AX1" i="12"/>
  <c r="BA1" i="12"/>
  <c r="BB1" i="12"/>
  <c r="BE1" i="12"/>
  <c r="BF1" i="12"/>
  <c r="BI1" i="12"/>
  <c r="BJ1" i="12"/>
  <c r="CO1" i="12"/>
  <c r="CP1" i="12"/>
  <c r="CS1" i="12"/>
  <c r="CT1" i="12"/>
  <c r="CW1" i="12"/>
  <c r="CX1" i="12"/>
  <c r="DA1" i="12"/>
  <c r="DB1" i="12"/>
  <c r="DE1" i="12"/>
  <c r="U1" i="10"/>
  <c r="V1" i="10"/>
  <c r="Y1" i="10"/>
  <c r="Z1" i="10"/>
  <c r="AC1" i="10"/>
  <c r="AD1" i="10"/>
  <c r="AG1" i="10"/>
  <c r="AH1" i="10"/>
  <c r="AK1" i="10"/>
  <c r="AL1" i="10"/>
  <c r="AO1" i="10"/>
  <c r="AP1" i="10"/>
  <c r="AS1" i="10"/>
  <c r="AT1" i="10"/>
  <c r="AW1" i="10"/>
  <c r="AX1" i="10"/>
  <c r="BA1" i="10"/>
  <c r="BB1" i="10"/>
  <c r="BE1" i="10"/>
  <c r="BF1" i="10"/>
  <c r="BI1" i="10"/>
  <c r="BJ1" i="10"/>
  <c r="CO1" i="10"/>
  <c r="CP1" i="10"/>
  <c r="CS1" i="10"/>
  <c r="CT1" i="10"/>
  <c r="CW1" i="10"/>
  <c r="CX1" i="10"/>
  <c r="DA1" i="10"/>
  <c r="DB1" i="10"/>
  <c r="DE1" i="10"/>
  <c r="U1" i="4"/>
  <c r="V1" i="4"/>
  <c r="Y1" i="4"/>
  <c r="Z1" i="4"/>
  <c r="AC1" i="4"/>
  <c r="AD1" i="4"/>
  <c r="AG1" i="4"/>
  <c r="AH1" i="4"/>
  <c r="AK1" i="4"/>
  <c r="AL1" i="4"/>
  <c r="AO1" i="4"/>
  <c r="AP1" i="4"/>
  <c r="AS1" i="4"/>
  <c r="AT1" i="4"/>
  <c r="AW1" i="4"/>
  <c r="AX1" i="4"/>
  <c r="BA1" i="4"/>
  <c r="BB1" i="4"/>
  <c r="BE1" i="4"/>
  <c r="BF1" i="4"/>
  <c r="BI1" i="4"/>
  <c r="BJ1" i="4"/>
  <c r="CO1" i="4"/>
  <c r="CP1" i="4"/>
  <c r="CS1" i="4"/>
  <c r="CT1" i="4"/>
  <c r="CW1" i="4"/>
  <c r="CX1" i="4"/>
  <c r="DA1" i="4"/>
  <c r="DB1" i="4"/>
  <c r="DE1" i="4"/>
  <c r="D18" i="13"/>
  <c r="DE70" i="12"/>
  <c r="DA70" i="12"/>
  <c r="CW70" i="12"/>
  <c r="CS70" i="12"/>
  <c r="CO70" i="12"/>
  <c r="BI70" i="12"/>
  <c r="BE70" i="12"/>
  <c r="BA70" i="12"/>
  <c r="AW70" i="12"/>
  <c r="AS70" i="12"/>
  <c r="AO70" i="12"/>
  <c r="AK70" i="12"/>
  <c r="AG70" i="12"/>
  <c r="AC70" i="12"/>
  <c r="Y70" i="12"/>
  <c r="U70" i="12"/>
  <c r="DE69" i="12"/>
  <c r="DA69" i="12"/>
  <c r="CW69" i="12"/>
  <c r="CS69" i="12"/>
  <c r="CO69" i="12"/>
  <c r="BI69" i="12"/>
  <c r="BE69" i="12"/>
  <c r="BA69" i="12"/>
  <c r="AW69" i="12"/>
  <c r="AS69" i="12"/>
  <c r="AO69" i="12"/>
  <c r="AK69" i="12"/>
  <c r="AG69" i="12"/>
  <c r="AC69" i="12"/>
  <c r="Y69" i="12"/>
  <c r="U69" i="12"/>
  <c r="DE68" i="12"/>
  <c r="DA68" i="12"/>
  <c r="CW68" i="12"/>
  <c r="CS68" i="12"/>
  <c r="CO68" i="12"/>
  <c r="BI68" i="12"/>
  <c r="BE68" i="12"/>
  <c r="BA68" i="12"/>
  <c r="AW68" i="12"/>
  <c r="AS68" i="12"/>
  <c r="AO68" i="12"/>
  <c r="AK68" i="12"/>
  <c r="AG68" i="12"/>
  <c r="AC68" i="12"/>
  <c r="Y68" i="12"/>
  <c r="U68" i="12"/>
  <c r="DE67" i="12"/>
  <c r="DA67" i="12"/>
  <c r="CW67" i="12"/>
  <c r="CS67" i="12"/>
  <c r="CO67" i="12"/>
  <c r="BI67" i="12"/>
  <c r="BE67" i="12"/>
  <c r="BA67" i="12"/>
  <c r="AW67" i="12"/>
  <c r="AS67" i="12"/>
  <c r="AO67" i="12"/>
  <c r="AK67" i="12"/>
  <c r="AG67" i="12"/>
  <c r="AC67" i="12"/>
  <c r="Y67" i="12"/>
  <c r="U67" i="12"/>
  <c r="DE66" i="12"/>
  <c r="DA66" i="12"/>
  <c r="CW66" i="12"/>
  <c r="CS66" i="12"/>
  <c r="CO66" i="12"/>
  <c r="BI66" i="12"/>
  <c r="BE66" i="12"/>
  <c r="BA66" i="12"/>
  <c r="AW66" i="12"/>
  <c r="AS66" i="12"/>
  <c r="AO66" i="12"/>
  <c r="AK66" i="12"/>
  <c r="AG66" i="12"/>
  <c r="AC66" i="12"/>
  <c r="Y66" i="12"/>
  <c r="U66" i="12"/>
  <c r="DE65" i="12"/>
  <c r="DA65" i="12"/>
  <c r="CW65" i="12"/>
  <c r="CS65" i="12"/>
  <c r="CO65" i="12"/>
  <c r="BI65" i="12"/>
  <c r="BE65" i="12"/>
  <c r="BA65" i="12"/>
  <c r="AW65" i="12"/>
  <c r="AS65" i="12"/>
  <c r="AO65" i="12"/>
  <c r="AK65" i="12"/>
  <c r="AG65" i="12"/>
  <c r="AC65" i="12"/>
  <c r="Y65" i="12"/>
  <c r="U65" i="12"/>
  <c r="DE64" i="12"/>
  <c r="DA64" i="12"/>
  <c r="CW64" i="12"/>
  <c r="CS64" i="12"/>
  <c r="CO64" i="12"/>
  <c r="BI64" i="12"/>
  <c r="BE64" i="12"/>
  <c r="BA64" i="12"/>
  <c r="AW64" i="12"/>
  <c r="AS64" i="12"/>
  <c r="AO64" i="12"/>
  <c r="AK64" i="12"/>
  <c r="AG64" i="12"/>
  <c r="AC64" i="12"/>
  <c r="Y64" i="12"/>
  <c r="U64" i="12"/>
  <c r="DE63" i="12"/>
  <c r="DA63" i="12"/>
  <c r="CW63" i="12"/>
  <c r="CS63" i="12"/>
  <c r="CO63" i="12"/>
  <c r="BI63" i="12"/>
  <c r="BE63" i="12"/>
  <c r="BA63" i="12"/>
  <c r="AW63" i="12"/>
  <c r="AS63" i="12"/>
  <c r="AO63" i="12"/>
  <c r="AK63" i="12"/>
  <c r="AG63" i="12"/>
  <c r="AC63" i="12"/>
  <c r="Y63" i="12"/>
  <c r="U63" i="12"/>
  <c r="DE62" i="12"/>
  <c r="DA62" i="12"/>
  <c r="CW62" i="12"/>
  <c r="CS62" i="12"/>
  <c r="CO62" i="12"/>
  <c r="BI62" i="12"/>
  <c r="BE62" i="12"/>
  <c r="BA62" i="12"/>
  <c r="AW62" i="12"/>
  <c r="AS62" i="12"/>
  <c r="AO62" i="12"/>
  <c r="AK62" i="12"/>
  <c r="AG62" i="12"/>
  <c r="AC62" i="12"/>
  <c r="Y62" i="12"/>
  <c r="U62" i="12"/>
  <c r="DE61" i="12"/>
  <c r="DA61" i="12"/>
  <c r="CW61" i="12"/>
  <c r="CS61" i="12"/>
  <c r="CO61" i="12"/>
  <c r="BI61" i="12"/>
  <c r="BE61" i="12"/>
  <c r="BA61" i="12"/>
  <c r="AW61" i="12"/>
  <c r="AS61" i="12"/>
  <c r="AO61" i="12"/>
  <c r="AK61" i="12"/>
  <c r="AG61" i="12"/>
  <c r="AC61" i="12"/>
  <c r="Y61" i="12"/>
  <c r="U61" i="12"/>
  <c r="DE60" i="12"/>
  <c r="DA60" i="12"/>
  <c r="CW60" i="12"/>
  <c r="CS60" i="12"/>
  <c r="CO60" i="12"/>
  <c r="BI60" i="12"/>
  <c r="BE60" i="12"/>
  <c r="BA60" i="12"/>
  <c r="AW60" i="12"/>
  <c r="AS60" i="12"/>
  <c r="AO60" i="12"/>
  <c r="AK60" i="12"/>
  <c r="AG60" i="12"/>
  <c r="AC60" i="12"/>
  <c r="Y60" i="12"/>
  <c r="U60" i="12"/>
  <c r="DE59" i="12"/>
  <c r="DA59" i="12"/>
  <c r="CW59" i="12"/>
  <c r="CS59" i="12"/>
  <c r="CO59" i="12"/>
  <c r="BI59" i="12"/>
  <c r="BE59" i="12"/>
  <c r="BA59" i="12"/>
  <c r="AW59" i="12"/>
  <c r="AS59" i="12"/>
  <c r="AO59" i="12"/>
  <c r="AK59" i="12"/>
  <c r="AG59" i="12"/>
  <c r="AC59" i="12"/>
  <c r="Y59" i="12"/>
  <c r="U59" i="12"/>
  <c r="DE58" i="12"/>
  <c r="DA58" i="12"/>
  <c r="CW58" i="12"/>
  <c r="CS58" i="12"/>
  <c r="CO58" i="12"/>
  <c r="BI58" i="12"/>
  <c r="BE58" i="12"/>
  <c r="BA58" i="12"/>
  <c r="AW58" i="12"/>
  <c r="AS58" i="12"/>
  <c r="AO58" i="12"/>
  <c r="AK58" i="12"/>
  <c r="AG58" i="12"/>
  <c r="AC58" i="12"/>
  <c r="Y58" i="12"/>
  <c r="U58" i="12"/>
  <c r="DE57" i="12"/>
  <c r="DA57" i="12"/>
  <c r="CW57" i="12"/>
  <c r="CS57" i="12"/>
  <c r="CO57" i="12"/>
  <c r="BI57" i="12"/>
  <c r="BE57" i="12"/>
  <c r="BA57" i="12"/>
  <c r="AW57" i="12"/>
  <c r="AS57" i="12"/>
  <c r="AO57" i="12"/>
  <c r="AK57" i="12"/>
  <c r="AG57" i="12"/>
  <c r="AC57" i="12"/>
  <c r="Y57" i="12"/>
  <c r="U57" i="12"/>
  <c r="DE56" i="12"/>
  <c r="DA56" i="12"/>
  <c r="CW56" i="12"/>
  <c r="CS56" i="12"/>
  <c r="CO56" i="12"/>
  <c r="BI56" i="12"/>
  <c r="BE56" i="12"/>
  <c r="BA56" i="12"/>
  <c r="AW56" i="12"/>
  <c r="AS56" i="12"/>
  <c r="AO56" i="12"/>
  <c r="AK56" i="12"/>
  <c r="AG56" i="12"/>
  <c r="AC56" i="12"/>
  <c r="Y56" i="12"/>
  <c r="U56" i="12"/>
  <c r="DE55" i="12"/>
  <c r="DA55" i="12"/>
  <c r="CW55" i="12"/>
  <c r="CS55" i="12"/>
  <c r="CO55" i="12"/>
  <c r="BI55" i="12"/>
  <c r="BE55" i="12"/>
  <c r="BA55" i="12"/>
  <c r="AW55" i="12"/>
  <c r="AS55" i="12"/>
  <c r="AO55" i="12"/>
  <c r="AK55" i="12"/>
  <c r="AG55" i="12"/>
  <c r="AC55" i="12"/>
  <c r="Y55" i="12"/>
  <c r="U55" i="12"/>
  <c r="DE54" i="12"/>
  <c r="DA54" i="12"/>
  <c r="CW54" i="12"/>
  <c r="CS54" i="12"/>
  <c r="CO54" i="12"/>
  <c r="BI54" i="12"/>
  <c r="BE54" i="12"/>
  <c r="BA54" i="12"/>
  <c r="AW54" i="12"/>
  <c r="AS54" i="12"/>
  <c r="AO54" i="12"/>
  <c r="AK54" i="12"/>
  <c r="AG54" i="12"/>
  <c r="AC54" i="12"/>
  <c r="Y54" i="12"/>
  <c r="U54" i="12"/>
  <c r="DE53" i="12"/>
  <c r="DA53" i="12"/>
  <c r="CW53" i="12"/>
  <c r="CS53" i="12"/>
  <c r="CO53" i="12"/>
  <c r="BI53" i="12"/>
  <c r="BE53" i="12"/>
  <c r="BA53" i="12"/>
  <c r="AW53" i="12"/>
  <c r="AS53" i="12"/>
  <c r="AO53" i="12"/>
  <c r="AK53" i="12"/>
  <c r="AG53" i="12"/>
  <c r="AC53" i="12"/>
  <c r="Y53" i="12"/>
  <c r="U53" i="12"/>
  <c r="DE52" i="12"/>
  <c r="DA52" i="12"/>
  <c r="CW52" i="12"/>
  <c r="CS52" i="12"/>
  <c r="CO52" i="12"/>
  <c r="BI52" i="12"/>
  <c r="BE52" i="12"/>
  <c r="BA52" i="12"/>
  <c r="AW52" i="12"/>
  <c r="AS52" i="12"/>
  <c r="AO52" i="12"/>
  <c r="AK52" i="12"/>
  <c r="AG52" i="12"/>
  <c r="AC52" i="12"/>
  <c r="Y52" i="12"/>
  <c r="U52" i="12"/>
  <c r="DE51" i="12"/>
  <c r="DA51" i="12"/>
  <c r="CW51" i="12"/>
  <c r="CS51" i="12"/>
  <c r="CO51" i="12"/>
  <c r="BI51" i="12"/>
  <c r="BE51" i="12"/>
  <c r="BA51" i="12"/>
  <c r="AW51" i="12"/>
  <c r="AS51" i="12"/>
  <c r="AO51" i="12"/>
  <c r="AK51" i="12"/>
  <c r="AG51" i="12"/>
  <c r="AC51" i="12"/>
  <c r="Y51" i="12"/>
  <c r="U51" i="12"/>
  <c r="DE50" i="12"/>
  <c r="DA50" i="12"/>
  <c r="CW50" i="12"/>
  <c r="CS50" i="12"/>
  <c r="CO50" i="12"/>
  <c r="BI50" i="12"/>
  <c r="BE50" i="12"/>
  <c r="BA50" i="12"/>
  <c r="AW50" i="12"/>
  <c r="AS50" i="12"/>
  <c r="AO50" i="12"/>
  <c r="AK50" i="12"/>
  <c r="AG50" i="12"/>
  <c r="AC50" i="12"/>
  <c r="Y50" i="12"/>
  <c r="U50" i="12"/>
  <c r="DE49" i="12"/>
  <c r="DA49" i="12"/>
  <c r="CW49" i="12"/>
  <c r="CS49" i="12"/>
  <c r="CO49" i="12"/>
  <c r="BI49" i="12"/>
  <c r="BE49" i="12"/>
  <c r="BA49" i="12"/>
  <c r="AW49" i="12"/>
  <c r="AS49" i="12"/>
  <c r="AO49" i="12"/>
  <c r="AK49" i="12"/>
  <c r="AG49" i="12"/>
  <c r="AC49" i="12"/>
  <c r="Y49" i="12"/>
  <c r="U49" i="12"/>
  <c r="DE48" i="12"/>
  <c r="DA48" i="12"/>
  <c r="CW48" i="12"/>
  <c r="CS48" i="12"/>
  <c r="CO48" i="12"/>
  <c r="BI48" i="12"/>
  <c r="BE48" i="12"/>
  <c r="BA48" i="12"/>
  <c r="AW48" i="12"/>
  <c r="AS48" i="12"/>
  <c r="AO48" i="12"/>
  <c r="AK48" i="12"/>
  <c r="AG48" i="12"/>
  <c r="AC48" i="12"/>
  <c r="Y48" i="12"/>
  <c r="U48" i="12"/>
  <c r="DE47" i="12"/>
  <c r="DA47" i="12"/>
  <c r="CW47" i="12"/>
  <c r="CS47" i="12"/>
  <c r="CO47" i="12"/>
  <c r="BI47" i="12"/>
  <c r="BE47" i="12"/>
  <c r="BA47" i="12"/>
  <c r="AW47" i="12"/>
  <c r="AS47" i="12"/>
  <c r="AO47" i="12"/>
  <c r="AK47" i="12"/>
  <c r="AG47" i="12"/>
  <c r="AC47" i="12"/>
  <c r="Y47" i="12"/>
  <c r="U47" i="12"/>
  <c r="DE46" i="12"/>
  <c r="DA46" i="12"/>
  <c r="CW46" i="12"/>
  <c r="CS46" i="12"/>
  <c r="CO46" i="12"/>
  <c r="BI46" i="12"/>
  <c r="BE46" i="12"/>
  <c r="BA46" i="12"/>
  <c r="AW46" i="12"/>
  <c r="AS46" i="12"/>
  <c r="AO46" i="12"/>
  <c r="AK46" i="12"/>
  <c r="AG46" i="12"/>
  <c r="AC46" i="12"/>
  <c r="Y46" i="12"/>
  <c r="U46" i="12"/>
  <c r="DE45" i="12"/>
  <c r="DA45" i="12"/>
  <c r="CW45" i="12"/>
  <c r="CS45" i="12"/>
  <c r="CO45" i="12"/>
  <c r="BI45" i="12"/>
  <c r="BE45" i="12"/>
  <c r="BA45" i="12"/>
  <c r="AW45" i="12"/>
  <c r="AS45" i="12"/>
  <c r="AO45" i="12"/>
  <c r="AK45" i="12"/>
  <c r="AG45" i="12"/>
  <c r="AC45" i="12"/>
  <c r="Y45" i="12"/>
  <c r="U45" i="12"/>
  <c r="DE44" i="12"/>
  <c r="DA44" i="12"/>
  <c r="CW44" i="12"/>
  <c r="CS44" i="12"/>
  <c r="CO44" i="12"/>
  <c r="BI44" i="12"/>
  <c r="BE44" i="12"/>
  <c r="BA44" i="12"/>
  <c r="AW44" i="12"/>
  <c r="AS44" i="12"/>
  <c r="AO44" i="12"/>
  <c r="AK44" i="12"/>
  <c r="AG44" i="12"/>
  <c r="AC44" i="12"/>
  <c r="Y44" i="12"/>
  <c r="U44" i="12"/>
  <c r="DE43" i="12"/>
  <c r="DA43" i="12"/>
  <c r="CW43" i="12"/>
  <c r="CS43" i="12"/>
  <c r="CO43" i="12"/>
  <c r="BI43" i="12"/>
  <c r="BE43" i="12"/>
  <c r="BA43" i="12"/>
  <c r="AW43" i="12"/>
  <c r="AS43" i="12"/>
  <c r="AO43" i="12"/>
  <c r="AK43" i="12"/>
  <c r="AG43" i="12"/>
  <c r="AC43" i="12"/>
  <c r="Y43" i="12"/>
  <c r="U43" i="12"/>
  <c r="DE42" i="12"/>
  <c r="DA42" i="12"/>
  <c r="CW42" i="12"/>
  <c r="CS42" i="12"/>
  <c r="CO42" i="12"/>
  <c r="BI42" i="12"/>
  <c r="BE42" i="12"/>
  <c r="BA42" i="12"/>
  <c r="AW42" i="12"/>
  <c r="AS42" i="12"/>
  <c r="AO42" i="12"/>
  <c r="AK42" i="12"/>
  <c r="AG42" i="12"/>
  <c r="AC42" i="12"/>
  <c r="Y42" i="12"/>
  <c r="U42" i="12"/>
  <c r="DE41" i="12"/>
  <c r="DA41" i="12"/>
  <c r="CW41" i="12"/>
  <c r="CS41" i="12"/>
  <c r="CO41" i="12"/>
  <c r="BI41" i="12"/>
  <c r="BE41" i="12"/>
  <c r="BA41" i="12"/>
  <c r="AW41" i="12"/>
  <c r="AS41" i="12"/>
  <c r="AO41" i="12"/>
  <c r="AK41" i="12"/>
  <c r="AG41" i="12"/>
  <c r="AC41" i="12"/>
  <c r="Y41" i="12"/>
  <c r="U41" i="12"/>
  <c r="DE40" i="12"/>
  <c r="DA40" i="12"/>
  <c r="CW40" i="12"/>
  <c r="CS40" i="12"/>
  <c r="CO40" i="12"/>
  <c r="BI40" i="12"/>
  <c r="BE40" i="12"/>
  <c r="BA40" i="12"/>
  <c r="AW40" i="12"/>
  <c r="AS40" i="12"/>
  <c r="AO40" i="12"/>
  <c r="AK40" i="12"/>
  <c r="AG40" i="12"/>
  <c r="AC40" i="12"/>
  <c r="Y40" i="12"/>
  <c r="U40" i="12"/>
  <c r="DE39" i="12"/>
  <c r="DA39" i="12"/>
  <c r="CW39" i="12"/>
  <c r="CS39" i="12"/>
  <c r="CO39" i="12"/>
  <c r="BI39" i="12"/>
  <c r="BE39" i="12"/>
  <c r="BA39" i="12"/>
  <c r="AW39" i="12"/>
  <c r="AS39" i="12"/>
  <c r="AO39" i="12"/>
  <c r="AK39" i="12"/>
  <c r="AG39" i="12"/>
  <c r="AC39" i="12"/>
  <c r="Y39" i="12"/>
  <c r="U39" i="12"/>
  <c r="DE38" i="12"/>
  <c r="DA38" i="12"/>
  <c r="CW38" i="12"/>
  <c r="CS38" i="12"/>
  <c r="CO38" i="12"/>
  <c r="BI38" i="12"/>
  <c r="BE38" i="12"/>
  <c r="BA38" i="12"/>
  <c r="AW38" i="12"/>
  <c r="AS38" i="12"/>
  <c r="AO38" i="12"/>
  <c r="AK38" i="12"/>
  <c r="AG38" i="12"/>
  <c r="AC38" i="12"/>
  <c r="Y38" i="12"/>
  <c r="U38" i="12"/>
  <c r="DE37" i="12"/>
  <c r="DA37" i="12"/>
  <c r="CW37" i="12"/>
  <c r="CS37" i="12"/>
  <c r="CO37" i="12"/>
  <c r="BI37" i="12"/>
  <c r="BE37" i="12"/>
  <c r="BA37" i="12"/>
  <c r="AW37" i="12"/>
  <c r="AS37" i="12"/>
  <c r="AO37" i="12"/>
  <c r="AK37" i="12"/>
  <c r="AG37" i="12"/>
  <c r="AC37" i="12"/>
  <c r="Y37" i="12"/>
  <c r="U37" i="12"/>
  <c r="DE36" i="12"/>
  <c r="DA36" i="12"/>
  <c r="CW36" i="12"/>
  <c r="CS36" i="12"/>
  <c r="CO36" i="12"/>
  <c r="BI36" i="12"/>
  <c r="BE36" i="12"/>
  <c r="BA36" i="12"/>
  <c r="AW36" i="12"/>
  <c r="AS36" i="12"/>
  <c r="AO36" i="12"/>
  <c r="AK36" i="12"/>
  <c r="AG36" i="12"/>
  <c r="AC36" i="12"/>
  <c r="Y36" i="12"/>
  <c r="U36" i="12"/>
  <c r="DE35" i="12"/>
  <c r="DA35" i="12"/>
  <c r="CW35" i="12"/>
  <c r="CS35" i="12"/>
  <c r="CO35" i="12"/>
  <c r="BI35" i="12"/>
  <c r="BE35" i="12"/>
  <c r="BA35" i="12"/>
  <c r="AW35" i="12"/>
  <c r="AS35" i="12"/>
  <c r="AO35" i="12"/>
  <c r="AK35" i="12"/>
  <c r="AG35" i="12"/>
  <c r="AC35" i="12"/>
  <c r="Y35" i="12"/>
  <c r="U35" i="12"/>
  <c r="DE34" i="12"/>
  <c r="DA34" i="12"/>
  <c r="CW34" i="12"/>
  <c r="CS34" i="12"/>
  <c r="CO34" i="12"/>
  <c r="BI34" i="12"/>
  <c r="BE34" i="12"/>
  <c r="BA34" i="12"/>
  <c r="AW34" i="12"/>
  <c r="AS34" i="12"/>
  <c r="AO34" i="12"/>
  <c r="AK34" i="12"/>
  <c r="AG34" i="12"/>
  <c r="AC34" i="12"/>
  <c r="Y34" i="12"/>
  <c r="U34" i="12"/>
  <c r="DE33" i="12"/>
  <c r="DA33" i="12"/>
  <c r="CW33" i="12"/>
  <c r="CS33" i="12"/>
  <c r="CO33" i="12"/>
  <c r="BI33" i="12"/>
  <c r="BE33" i="12"/>
  <c r="BA33" i="12"/>
  <c r="AW33" i="12"/>
  <c r="AS33" i="12"/>
  <c r="AO33" i="12"/>
  <c r="AK33" i="12"/>
  <c r="AG33" i="12"/>
  <c r="AC33" i="12"/>
  <c r="Y33" i="12"/>
  <c r="U33" i="12"/>
  <c r="DE32" i="12"/>
  <c r="DA32" i="12"/>
  <c r="CW32" i="12"/>
  <c r="CS32" i="12"/>
  <c r="CO32" i="12"/>
  <c r="BI32" i="12"/>
  <c r="BE32" i="12"/>
  <c r="BA32" i="12"/>
  <c r="AW32" i="12"/>
  <c r="AS32" i="12"/>
  <c r="AO32" i="12"/>
  <c r="AK32" i="12"/>
  <c r="AG32" i="12"/>
  <c r="AC32" i="12"/>
  <c r="Y32" i="12"/>
  <c r="U32" i="12"/>
  <c r="DE31" i="12"/>
  <c r="DA31" i="12"/>
  <c r="CW31" i="12"/>
  <c r="CS31" i="12"/>
  <c r="CO31" i="12"/>
  <c r="BI31" i="12"/>
  <c r="BE31" i="12"/>
  <c r="BA31" i="12"/>
  <c r="AW31" i="12"/>
  <c r="AS31" i="12"/>
  <c r="AO31" i="12"/>
  <c r="AK31" i="12"/>
  <c r="AG31" i="12"/>
  <c r="AC31" i="12"/>
  <c r="Y31" i="12"/>
  <c r="U31" i="12"/>
  <c r="DE30" i="12"/>
  <c r="DA30" i="12"/>
  <c r="CW30" i="12"/>
  <c r="CS30" i="12"/>
  <c r="CO30" i="12"/>
  <c r="BI30" i="12"/>
  <c r="BE30" i="12"/>
  <c r="BA30" i="12"/>
  <c r="AW30" i="12"/>
  <c r="AS30" i="12"/>
  <c r="AO30" i="12"/>
  <c r="AK30" i="12"/>
  <c r="AG30" i="12"/>
  <c r="AC30" i="12"/>
  <c r="Y30" i="12"/>
  <c r="U30" i="12"/>
  <c r="DE29" i="12"/>
  <c r="DA29" i="12"/>
  <c r="CW29" i="12"/>
  <c r="CS29" i="12"/>
  <c r="CO29" i="12"/>
  <c r="BI29" i="12"/>
  <c r="BE29" i="12"/>
  <c r="BA29" i="12"/>
  <c r="AW29" i="12"/>
  <c r="AS29" i="12"/>
  <c r="AO29" i="12"/>
  <c r="AK29" i="12"/>
  <c r="AG29" i="12"/>
  <c r="AC29" i="12"/>
  <c r="Y29" i="12"/>
  <c r="U29" i="12"/>
  <c r="DE28" i="12"/>
  <c r="DA28" i="12"/>
  <c r="CW28" i="12"/>
  <c r="CS28" i="12"/>
  <c r="CO28" i="12"/>
  <c r="BI28" i="12"/>
  <c r="BE28" i="12"/>
  <c r="BA28" i="12"/>
  <c r="AW28" i="12"/>
  <c r="AS28" i="12"/>
  <c r="AO28" i="12"/>
  <c r="AK28" i="12"/>
  <c r="AG28" i="12"/>
  <c r="AC28" i="12"/>
  <c r="Y28" i="12"/>
  <c r="U28" i="12"/>
  <c r="DE27" i="12"/>
  <c r="DA27" i="12"/>
  <c r="CW27" i="12"/>
  <c r="CS27" i="12"/>
  <c r="CO27" i="12"/>
  <c r="BI27" i="12"/>
  <c r="BE27" i="12"/>
  <c r="BA27" i="12"/>
  <c r="AW27" i="12"/>
  <c r="AS27" i="12"/>
  <c r="AO27" i="12"/>
  <c r="AK27" i="12"/>
  <c r="AG27" i="12"/>
  <c r="AC27" i="12"/>
  <c r="Y27" i="12"/>
  <c r="U27" i="12"/>
  <c r="DE26" i="12"/>
  <c r="DA26" i="12"/>
  <c r="CW26" i="12"/>
  <c r="CS26" i="12"/>
  <c r="CO26" i="12"/>
  <c r="BI26" i="12"/>
  <c r="BE26" i="12"/>
  <c r="BA26" i="12"/>
  <c r="AW26" i="12"/>
  <c r="AS26" i="12"/>
  <c r="AO26" i="12"/>
  <c r="AK26" i="12"/>
  <c r="AG26" i="12"/>
  <c r="AC26" i="12"/>
  <c r="Y26" i="12"/>
  <c r="U26" i="12"/>
  <c r="DE25" i="12"/>
  <c r="DA25" i="12"/>
  <c r="CW25" i="12"/>
  <c r="CS25" i="12"/>
  <c r="CO25" i="12"/>
  <c r="BI25" i="12"/>
  <c r="BE25" i="12"/>
  <c r="BA25" i="12"/>
  <c r="AW25" i="12"/>
  <c r="AS25" i="12"/>
  <c r="AO25" i="12"/>
  <c r="AK25" i="12"/>
  <c r="AG25" i="12"/>
  <c r="AC25" i="12"/>
  <c r="Y25" i="12"/>
  <c r="U25" i="12"/>
  <c r="DE24" i="12"/>
  <c r="DA24" i="12"/>
  <c r="CW24" i="12"/>
  <c r="CS24" i="12"/>
  <c r="CO24" i="12"/>
  <c r="BI24" i="12"/>
  <c r="BE24" i="12"/>
  <c r="BA24" i="12"/>
  <c r="AW24" i="12"/>
  <c r="AS24" i="12"/>
  <c r="AO24" i="12"/>
  <c r="AK24" i="12"/>
  <c r="AG24" i="12"/>
  <c r="AC24" i="12"/>
  <c r="Y24" i="12"/>
  <c r="U24" i="12"/>
  <c r="DE23" i="12"/>
  <c r="DA23" i="12"/>
  <c r="CW23" i="12"/>
  <c r="CS23" i="12"/>
  <c r="CO23" i="12"/>
  <c r="BI23" i="12"/>
  <c r="BE23" i="12"/>
  <c r="BA23" i="12"/>
  <c r="AW23" i="12"/>
  <c r="AS23" i="12"/>
  <c r="AO23" i="12"/>
  <c r="AK23" i="12"/>
  <c r="AG23" i="12"/>
  <c r="AC23" i="12"/>
  <c r="Y23" i="12"/>
  <c r="U23" i="12"/>
  <c r="DE22" i="12"/>
  <c r="DA22" i="12"/>
  <c r="CW22" i="12"/>
  <c r="CS22" i="12"/>
  <c r="CO22" i="12"/>
  <c r="BI22" i="12"/>
  <c r="BE22" i="12"/>
  <c r="BA22" i="12"/>
  <c r="AW22" i="12"/>
  <c r="AS22" i="12"/>
  <c r="AO22" i="12"/>
  <c r="AK22" i="12"/>
  <c r="AG22" i="12"/>
  <c r="AC22" i="12"/>
  <c r="Y22" i="12"/>
  <c r="U22" i="12"/>
  <c r="DE21" i="12"/>
  <c r="DA21" i="12"/>
  <c r="CW21" i="12"/>
  <c r="CS21" i="12"/>
  <c r="CO21" i="12"/>
  <c r="BI21" i="12"/>
  <c r="BE21" i="12"/>
  <c r="BA21" i="12"/>
  <c r="AW21" i="12"/>
  <c r="AS21" i="12"/>
  <c r="AO21" i="12"/>
  <c r="AK21" i="12"/>
  <c r="AG21" i="12"/>
  <c r="AC21" i="12"/>
  <c r="Y21" i="12"/>
  <c r="U21" i="12"/>
  <c r="DE20" i="12"/>
  <c r="DA20" i="12"/>
  <c r="CW20" i="12"/>
  <c r="CS20" i="12"/>
  <c r="CO20" i="12"/>
  <c r="BI20" i="12"/>
  <c r="BE20" i="12"/>
  <c r="BA20" i="12"/>
  <c r="AW20" i="12"/>
  <c r="AS20" i="12"/>
  <c r="AO20" i="12"/>
  <c r="AK20" i="12"/>
  <c r="AG20" i="12"/>
  <c r="AC20" i="12"/>
  <c r="Y20" i="12"/>
  <c r="U20" i="12"/>
  <c r="DE19" i="12"/>
  <c r="DA19" i="12"/>
  <c r="CW19" i="12"/>
  <c r="CS19" i="12"/>
  <c r="CO19" i="12"/>
  <c r="BI19" i="12"/>
  <c r="BE19" i="12"/>
  <c r="BA19" i="12"/>
  <c r="AW19" i="12"/>
  <c r="AS19" i="12"/>
  <c r="AO19" i="12"/>
  <c r="AK19" i="12"/>
  <c r="AG19" i="12"/>
  <c r="AC19" i="12"/>
  <c r="Y19" i="12"/>
  <c r="U19" i="12"/>
  <c r="DE18" i="12"/>
  <c r="DA18" i="12"/>
  <c r="CW18" i="12"/>
  <c r="CS18" i="12"/>
  <c r="CO18" i="12"/>
  <c r="BI18" i="12"/>
  <c r="BE18" i="12"/>
  <c r="BA18" i="12"/>
  <c r="AW18" i="12"/>
  <c r="AS18" i="12"/>
  <c r="AO18" i="12"/>
  <c r="AK18" i="12"/>
  <c r="AG18" i="12"/>
  <c r="AC18" i="12"/>
  <c r="Y18" i="12"/>
  <c r="U18" i="12"/>
  <c r="DE17" i="12"/>
  <c r="DA17" i="12"/>
  <c r="CW17" i="12"/>
  <c r="CS17" i="12"/>
  <c r="CO17" i="12"/>
  <c r="BI17" i="12"/>
  <c r="BE17" i="12"/>
  <c r="BA17" i="12"/>
  <c r="AW17" i="12"/>
  <c r="AS17" i="12"/>
  <c r="AO17" i="12"/>
  <c r="AK17" i="12"/>
  <c r="AG17" i="12"/>
  <c r="AC17" i="12"/>
  <c r="Y17" i="12"/>
  <c r="U17" i="12"/>
  <c r="DE16" i="12"/>
  <c r="DA16" i="12"/>
  <c r="CW16" i="12"/>
  <c r="CS16" i="12"/>
  <c r="CO16" i="12"/>
  <c r="BI16" i="12"/>
  <c r="BE16" i="12"/>
  <c r="BA16" i="12"/>
  <c r="AW16" i="12"/>
  <c r="AS16" i="12"/>
  <c r="AO16" i="12"/>
  <c r="AK16" i="12"/>
  <c r="AG16" i="12"/>
  <c r="AC16" i="12"/>
  <c r="Y16" i="12"/>
  <c r="U16" i="12"/>
  <c r="DE15" i="12"/>
  <c r="DA15" i="12"/>
  <c r="CW15" i="12"/>
  <c r="CS15" i="12"/>
  <c r="CO15" i="12"/>
  <c r="BI15" i="12"/>
  <c r="BE15" i="12"/>
  <c r="BA15" i="12"/>
  <c r="AW15" i="12"/>
  <c r="AS15" i="12"/>
  <c r="AO15" i="12"/>
  <c r="AK15" i="12"/>
  <c r="AG15" i="12"/>
  <c r="AC15" i="12"/>
  <c r="Y15" i="12"/>
  <c r="U15" i="12"/>
  <c r="DE14" i="12"/>
  <c r="DA14" i="12"/>
  <c r="CW14" i="12"/>
  <c r="CS14" i="12"/>
  <c r="CO14" i="12"/>
  <c r="BI14" i="12"/>
  <c r="BE14" i="12"/>
  <c r="BA14" i="12"/>
  <c r="AW14" i="12"/>
  <c r="AS14" i="12"/>
  <c r="AO14" i="12"/>
  <c r="AK14" i="12"/>
  <c r="AG14" i="12"/>
  <c r="AC14" i="12"/>
  <c r="Y14" i="12"/>
  <c r="U14" i="12"/>
  <c r="DE13" i="12"/>
  <c r="DA13" i="12"/>
  <c r="CW13" i="12"/>
  <c r="CS13" i="12"/>
  <c r="CO13" i="12"/>
  <c r="BI13" i="12"/>
  <c r="BE13" i="12"/>
  <c r="BA13" i="12"/>
  <c r="AW13" i="12"/>
  <c r="AS13" i="12"/>
  <c r="AO13" i="12"/>
  <c r="AK13" i="12"/>
  <c r="AG13" i="12"/>
  <c r="AC13" i="12"/>
  <c r="Y13" i="12"/>
  <c r="U13" i="12"/>
  <c r="DE12" i="12"/>
  <c r="DA12" i="12"/>
  <c r="CW12" i="12"/>
  <c r="CS12" i="12"/>
  <c r="CO12" i="12"/>
  <c r="BI12" i="12"/>
  <c r="BE12" i="12"/>
  <c r="BA12" i="12"/>
  <c r="AW12" i="12"/>
  <c r="AS12" i="12"/>
  <c r="AO12" i="12"/>
  <c r="AK12" i="12"/>
  <c r="AG12" i="12"/>
  <c r="AC12" i="12"/>
  <c r="Y12" i="12"/>
  <c r="U12" i="12"/>
  <c r="DE11" i="12"/>
  <c r="DA11" i="12"/>
  <c r="CW11" i="12"/>
  <c r="CS11" i="12"/>
  <c r="CO11" i="12"/>
  <c r="BI11" i="12"/>
  <c r="BE11" i="12"/>
  <c r="BA11" i="12"/>
  <c r="AW11" i="12"/>
  <c r="AS11" i="12"/>
  <c r="AO11" i="12"/>
  <c r="AK11" i="12"/>
  <c r="AG11" i="12"/>
  <c r="AC11" i="12"/>
  <c r="Y11" i="12"/>
  <c r="U11" i="12"/>
  <c r="DE10" i="12"/>
  <c r="DA10" i="12"/>
  <c r="CW10" i="12"/>
  <c r="CS10" i="12"/>
  <c r="CO10" i="12"/>
  <c r="BI10" i="12"/>
  <c r="BE10" i="12"/>
  <c r="BA10" i="12"/>
  <c r="AW10" i="12"/>
  <c r="AS10" i="12"/>
  <c r="AO10" i="12"/>
  <c r="AK10" i="12"/>
  <c r="AG10" i="12"/>
  <c r="AC10" i="12"/>
  <c r="Y10" i="12"/>
  <c r="U10" i="12"/>
  <c r="DE9" i="12"/>
  <c r="DA9" i="12"/>
  <c r="CW9" i="12"/>
  <c r="CS9" i="12"/>
  <c r="CO9" i="12"/>
  <c r="BI9" i="12"/>
  <c r="BE9" i="12"/>
  <c r="BA9" i="12"/>
  <c r="AW9" i="12"/>
  <c r="AS9" i="12"/>
  <c r="AO9" i="12"/>
  <c r="AK9" i="12"/>
  <c r="AG9" i="12"/>
  <c r="AC9" i="12"/>
  <c r="Y9" i="12"/>
  <c r="U9" i="12"/>
  <c r="DE8" i="12"/>
  <c r="DA8" i="12"/>
  <c r="CW8" i="12"/>
  <c r="CS8" i="12"/>
  <c r="CO8" i="12"/>
  <c r="BI8" i="12"/>
  <c r="BE8" i="12"/>
  <c r="BA8" i="12"/>
  <c r="AW8" i="12"/>
  <c r="AS8" i="12"/>
  <c r="AO8" i="12"/>
  <c r="AK8" i="12"/>
  <c r="AG8" i="12"/>
  <c r="AC8" i="12"/>
  <c r="Y8" i="12"/>
  <c r="U8" i="12"/>
  <c r="DE7" i="12"/>
  <c r="DA7" i="12"/>
  <c r="CW7" i="12"/>
  <c r="CS7" i="12"/>
  <c r="CO7" i="12"/>
  <c r="BI7" i="12"/>
  <c r="BE7" i="12"/>
  <c r="BA7" i="12"/>
  <c r="AW7" i="12"/>
  <c r="AS7" i="12"/>
  <c r="AO7" i="12"/>
  <c r="AK7" i="12"/>
  <c r="AG7" i="12"/>
  <c r="AC7" i="12"/>
  <c r="Y7" i="12"/>
  <c r="U7" i="12"/>
  <c r="DE6" i="12"/>
  <c r="DA6" i="12"/>
  <c r="CW6" i="12"/>
  <c r="CS6" i="12"/>
  <c r="CO6" i="12"/>
  <c r="BE6" i="12"/>
  <c r="BA6" i="12"/>
  <c r="AW6" i="12"/>
  <c r="AS6" i="12"/>
  <c r="AO6" i="12"/>
  <c r="AK6" i="12"/>
  <c r="AG6" i="12"/>
  <c r="AC6" i="12"/>
  <c r="Y6" i="12"/>
  <c r="U6" i="12"/>
  <c r="DE5" i="12"/>
  <c r="DA5" i="12"/>
  <c r="CW5" i="12"/>
  <c r="CS5" i="12"/>
  <c r="CO5" i="12"/>
  <c r="BI5" i="12"/>
  <c r="BE5" i="12"/>
  <c r="BA5" i="12"/>
  <c r="AS5" i="12"/>
  <c r="AO5" i="12"/>
  <c r="AK5" i="12"/>
  <c r="AG5" i="12"/>
  <c r="AC5" i="12"/>
  <c r="Y5" i="12"/>
  <c r="U5" i="12"/>
  <c r="DE70" i="10"/>
  <c r="DA70" i="10"/>
  <c r="CW70" i="10"/>
  <c r="CS70" i="10"/>
  <c r="CO70" i="10"/>
  <c r="BI70" i="10"/>
  <c r="BE70" i="10"/>
  <c r="BA70" i="10"/>
  <c r="AW70" i="10"/>
  <c r="AS70" i="10"/>
  <c r="AO70" i="10"/>
  <c r="AK70" i="10"/>
  <c r="AG70" i="10"/>
  <c r="AC70" i="10"/>
  <c r="Y70" i="10"/>
  <c r="U70" i="10"/>
  <c r="DE69" i="10"/>
  <c r="DA69" i="10"/>
  <c r="CW69" i="10"/>
  <c r="CS69" i="10"/>
  <c r="CO69" i="10"/>
  <c r="BI69" i="10"/>
  <c r="BE69" i="10"/>
  <c r="BA69" i="10"/>
  <c r="AW69" i="10"/>
  <c r="AS69" i="10"/>
  <c r="AO69" i="10"/>
  <c r="AK69" i="10"/>
  <c r="AG69" i="10"/>
  <c r="AC69" i="10"/>
  <c r="Y69" i="10"/>
  <c r="U69" i="10"/>
  <c r="DE68" i="10"/>
  <c r="DA68" i="10"/>
  <c r="CW68" i="10"/>
  <c r="CS68" i="10"/>
  <c r="CO68" i="10"/>
  <c r="BI68" i="10"/>
  <c r="BE68" i="10"/>
  <c r="BA68" i="10"/>
  <c r="AW68" i="10"/>
  <c r="AS68" i="10"/>
  <c r="AO68" i="10"/>
  <c r="AK68" i="10"/>
  <c r="AG68" i="10"/>
  <c r="AC68" i="10"/>
  <c r="Y68" i="10"/>
  <c r="U68" i="10"/>
  <c r="DE67" i="10"/>
  <c r="DA67" i="10"/>
  <c r="CW67" i="10"/>
  <c r="CS67" i="10"/>
  <c r="CO67" i="10"/>
  <c r="BI67" i="10"/>
  <c r="BE67" i="10"/>
  <c r="BA67" i="10"/>
  <c r="AW67" i="10"/>
  <c r="AS67" i="10"/>
  <c r="AO67" i="10"/>
  <c r="AK67" i="10"/>
  <c r="AG67" i="10"/>
  <c r="AC67" i="10"/>
  <c r="Y67" i="10"/>
  <c r="U67" i="10"/>
  <c r="DE66" i="10"/>
  <c r="DA66" i="10"/>
  <c r="CW66" i="10"/>
  <c r="CS66" i="10"/>
  <c r="CO66" i="10"/>
  <c r="BI66" i="10"/>
  <c r="BE66" i="10"/>
  <c r="BA66" i="10"/>
  <c r="AW66" i="10"/>
  <c r="AS66" i="10"/>
  <c r="AO66" i="10"/>
  <c r="AK66" i="10"/>
  <c r="AG66" i="10"/>
  <c r="AC66" i="10"/>
  <c r="Y66" i="10"/>
  <c r="U66" i="10"/>
  <c r="DE65" i="10"/>
  <c r="DA65" i="10"/>
  <c r="CW65" i="10"/>
  <c r="CS65" i="10"/>
  <c r="CO65" i="10"/>
  <c r="BI65" i="10"/>
  <c r="BE65" i="10"/>
  <c r="BA65" i="10"/>
  <c r="AW65" i="10"/>
  <c r="AS65" i="10"/>
  <c r="AO65" i="10"/>
  <c r="AK65" i="10"/>
  <c r="AG65" i="10"/>
  <c r="AC65" i="10"/>
  <c r="Y65" i="10"/>
  <c r="U65" i="10"/>
  <c r="DE64" i="10"/>
  <c r="DA64" i="10"/>
  <c r="CW64" i="10"/>
  <c r="CS64" i="10"/>
  <c r="CO64" i="10"/>
  <c r="BI64" i="10"/>
  <c r="BE64" i="10"/>
  <c r="BA64" i="10"/>
  <c r="AW64" i="10"/>
  <c r="AS64" i="10"/>
  <c r="AO64" i="10"/>
  <c r="AK64" i="10"/>
  <c r="AG64" i="10"/>
  <c r="AC64" i="10"/>
  <c r="Y64" i="10"/>
  <c r="U64" i="10"/>
  <c r="DE63" i="10"/>
  <c r="DA63" i="10"/>
  <c r="CW63" i="10"/>
  <c r="CS63" i="10"/>
  <c r="CO63" i="10"/>
  <c r="BI63" i="10"/>
  <c r="BE63" i="10"/>
  <c r="BA63" i="10"/>
  <c r="AW63" i="10"/>
  <c r="AS63" i="10"/>
  <c r="AO63" i="10"/>
  <c r="AK63" i="10"/>
  <c r="AG63" i="10"/>
  <c r="AC63" i="10"/>
  <c r="Y63" i="10"/>
  <c r="U63" i="10"/>
  <c r="DE62" i="10"/>
  <c r="DA62" i="10"/>
  <c r="CW62" i="10"/>
  <c r="CS62" i="10"/>
  <c r="CO62" i="10"/>
  <c r="BI62" i="10"/>
  <c r="BE62" i="10"/>
  <c r="BA62" i="10"/>
  <c r="AW62" i="10"/>
  <c r="AS62" i="10"/>
  <c r="AO62" i="10"/>
  <c r="AK62" i="10"/>
  <c r="AG62" i="10"/>
  <c r="AC62" i="10"/>
  <c r="Y62" i="10"/>
  <c r="U62" i="10"/>
  <c r="DE61" i="10"/>
  <c r="DA61" i="10"/>
  <c r="CW61" i="10"/>
  <c r="CS61" i="10"/>
  <c r="CO61" i="10"/>
  <c r="BI61" i="10"/>
  <c r="BE61" i="10"/>
  <c r="BA61" i="10"/>
  <c r="AW61" i="10"/>
  <c r="AS61" i="10"/>
  <c r="AO61" i="10"/>
  <c r="AK61" i="10"/>
  <c r="AG61" i="10"/>
  <c r="AC61" i="10"/>
  <c r="Y61" i="10"/>
  <c r="U61" i="10"/>
  <c r="DO61" i="10" s="1"/>
  <c r="DQ61" i="10" s="1"/>
  <c r="DS61" i="10" s="1"/>
  <c r="DE60" i="10"/>
  <c r="DA60" i="10"/>
  <c r="CW60" i="10"/>
  <c r="CS60" i="10"/>
  <c r="CO60" i="10"/>
  <c r="BI60" i="10"/>
  <c r="BE60" i="10"/>
  <c r="BA60" i="10"/>
  <c r="AW60" i="10"/>
  <c r="AS60" i="10"/>
  <c r="AO60" i="10"/>
  <c r="AK60" i="10"/>
  <c r="AG60" i="10"/>
  <c r="AC60" i="10"/>
  <c r="Y60" i="10"/>
  <c r="U60" i="10"/>
  <c r="DO60" i="10" s="1"/>
  <c r="DQ60" i="10" s="1"/>
  <c r="DE59" i="10"/>
  <c r="DA59" i="10"/>
  <c r="CW59" i="10"/>
  <c r="CS59" i="10"/>
  <c r="CO59" i="10"/>
  <c r="BI59" i="10"/>
  <c r="BE59" i="10"/>
  <c r="BA59" i="10"/>
  <c r="AW59" i="10"/>
  <c r="AS59" i="10"/>
  <c r="AO59" i="10"/>
  <c r="AK59" i="10"/>
  <c r="AG59" i="10"/>
  <c r="AC59" i="10"/>
  <c r="Y59" i="10"/>
  <c r="U59" i="10"/>
  <c r="DO59" i="10" s="1"/>
  <c r="DQ59" i="10" s="1"/>
  <c r="DE58" i="10"/>
  <c r="DA58" i="10"/>
  <c r="CW58" i="10"/>
  <c r="CS58" i="10"/>
  <c r="CO58" i="10"/>
  <c r="BI58" i="10"/>
  <c r="BE58" i="10"/>
  <c r="BA58" i="10"/>
  <c r="AW58" i="10"/>
  <c r="AS58" i="10"/>
  <c r="AO58" i="10"/>
  <c r="AK58" i="10"/>
  <c r="AG58" i="10"/>
  <c r="AC58" i="10"/>
  <c r="Y58" i="10"/>
  <c r="U58" i="10"/>
  <c r="DO58" i="10" s="1"/>
  <c r="DQ58" i="10" s="1"/>
  <c r="DS58" i="10" s="1"/>
  <c r="DE57" i="10"/>
  <c r="DA57" i="10"/>
  <c r="CW57" i="10"/>
  <c r="CS57" i="10"/>
  <c r="CO57" i="10"/>
  <c r="BI57" i="10"/>
  <c r="BE57" i="10"/>
  <c r="BA57" i="10"/>
  <c r="AW57" i="10"/>
  <c r="AS57" i="10"/>
  <c r="AO57" i="10"/>
  <c r="AK57" i="10"/>
  <c r="AG57" i="10"/>
  <c r="AC57" i="10"/>
  <c r="Y57" i="10"/>
  <c r="U57" i="10"/>
  <c r="DO57" i="10" s="1"/>
  <c r="DQ57" i="10" s="1"/>
  <c r="DS57" i="10" s="1"/>
  <c r="DE56" i="10"/>
  <c r="DA56" i="10"/>
  <c r="CW56" i="10"/>
  <c r="CS56" i="10"/>
  <c r="CO56" i="10"/>
  <c r="BI56" i="10"/>
  <c r="BE56" i="10"/>
  <c r="BA56" i="10"/>
  <c r="AW56" i="10"/>
  <c r="AS56" i="10"/>
  <c r="AO56" i="10"/>
  <c r="AK56" i="10"/>
  <c r="AG56" i="10"/>
  <c r="AC56" i="10"/>
  <c r="Y56" i="10"/>
  <c r="U56" i="10"/>
  <c r="DE55" i="10"/>
  <c r="DA55" i="10"/>
  <c r="CW55" i="10"/>
  <c r="CS55" i="10"/>
  <c r="CO55" i="10"/>
  <c r="BI55" i="10"/>
  <c r="BE55" i="10"/>
  <c r="BA55" i="10"/>
  <c r="AW55" i="10"/>
  <c r="AS55" i="10"/>
  <c r="AO55" i="10"/>
  <c r="AK55" i="10"/>
  <c r="AG55" i="10"/>
  <c r="AC55" i="10"/>
  <c r="Y55" i="10"/>
  <c r="U55" i="10"/>
  <c r="DO55" i="10" s="1"/>
  <c r="DQ55" i="10" s="1"/>
  <c r="DS55" i="10" s="1"/>
  <c r="DE54" i="10"/>
  <c r="DA54" i="10"/>
  <c r="CW54" i="10"/>
  <c r="CS54" i="10"/>
  <c r="CO54" i="10"/>
  <c r="BI54" i="10"/>
  <c r="BE54" i="10"/>
  <c r="BA54" i="10"/>
  <c r="AW54" i="10"/>
  <c r="AS54" i="10"/>
  <c r="AO54" i="10"/>
  <c r="AK54" i="10"/>
  <c r="AG54" i="10"/>
  <c r="AC54" i="10"/>
  <c r="Y54" i="10"/>
  <c r="U54" i="10"/>
  <c r="DO54" i="10" s="1"/>
  <c r="DQ54" i="10" s="1"/>
  <c r="DS54" i="10" s="1"/>
  <c r="DE53" i="10"/>
  <c r="DA53" i="10"/>
  <c r="CW53" i="10"/>
  <c r="CS53" i="10"/>
  <c r="CO53" i="10"/>
  <c r="BI53" i="10"/>
  <c r="BE53" i="10"/>
  <c r="BA53" i="10"/>
  <c r="AW53" i="10"/>
  <c r="AS53" i="10"/>
  <c r="AO53" i="10"/>
  <c r="AK53" i="10"/>
  <c r="AG53" i="10"/>
  <c r="AC53" i="10"/>
  <c r="Y53" i="10"/>
  <c r="U53" i="10"/>
  <c r="DO53" i="10" s="1"/>
  <c r="DQ53" i="10" s="1"/>
  <c r="DS53" i="10" s="1"/>
  <c r="DE52" i="10"/>
  <c r="DA52" i="10"/>
  <c r="CW52" i="10"/>
  <c r="CS52" i="10"/>
  <c r="CO52" i="10"/>
  <c r="BI52" i="10"/>
  <c r="BE52" i="10"/>
  <c r="BA52" i="10"/>
  <c r="AW52" i="10"/>
  <c r="AS52" i="10"/>
  <c r="AO52" i="10"/>
  <c r="AK52" i="10"/>
  <c r="AG52" i="10"/>
  <c r="AC52" i="10"/>
  <c r="Y52" i="10"/>
  <c r="U52" i="10"/>
  <c r="DO52" i="10" s="1"/>
  <c r="DQ52" i="10" s="1"/>
  <c r="DS52" i="10" s="1"/>
  <c r="DE51" i="10"/>
  <c r="DA51" i="10"/>
  <c r="CW51" i="10"/>
  <c r="CS51" i="10"/>
  <c r="CO51" i="10"/>
  <c r="BI51" i="10"/>
  <c r="BE51" i="10"/>
  <c r="BA51" i="10"/>
  <c r="AW51" i="10"/>
  <c r="AS51" i="10"/>
  <c r="AO51" i="10"/>
  <c r="AK51" i="10"/>
  <c r="AG51" i="10"/>
  <c r="AC51" i="10"/>
  <c r="Y51" i="10"/>
  <c r="U51" i="10"/>
  <c r="DO51" i="10" s="1"/>
  <c r="DQ51" i="10" s="1"/>
  <c r="DS51" i="10" s="1"/>
  <c r="DE50" i="10"/>
  <c r="DA50" i="10"/>
  <c r="CW50" i="10"/>
  <c r="CS50" i="10"/>
  <c r="CO50" i="10"/>
  <c r="BI50" i="10"/>
  <c r="BE50" i="10"/>
  <c r="BA50" i="10"/>
  <c r="AW50" i="10"/>
  <c r="AS50" i="10"/>
  <c r="AO50" i="10"/>
  <c r="AK50" i="10"/>
  <c r="AG50" i="10"/>
  <c r="AC50" i="10"/>
  <c r="Y50" i="10"/>
  <c r="U50" i="10"/>
  <c r="DO50" i="10" s="1"/>
  <c r="DQ50" i="10" s="1"/>
  <c r="DS50" i="10" s="1"/>
  <c r="DE49" i="10"/>
  <c r="DA49" i="10"/>
  <c r="CW49" i="10"/>
  <c r="CS49" i="10"/>
  <c r="CO49" i="10"/>
  <c r="BI49" i="10"/>
  <c r="BE49" i="10"/>
  <c r="BA49" i="10"/>
  <c r="AW49" i="10"/>
  <c r="AS49" i="10"/>
  <c r="AO49" i="10"/>
  <c r="AK49" i="10"/>
  <c r="AG49" i="10"/>
  <c r="AC49" i="10"/>
  <c r="Y49" i="10"/>
  <c r="U49" i="10"/>
  <c r="DO49" i="10" s="1"/>
  <c r="DQ49" i="10" s="1"/>
  <c r="DS49" i="10" s="1"/>
  <c r="DE48" i="10"/>
  <c r="DA48" i="10"/>
  <c r="CW48" i="10"/>
  <c r="CS48" i="10"/>
  <c r="CO48" i="10"/>
  <c r="BI48" i="10"/>
  <c r="BE48" i="10"/>
  <c r="BA48" i="10"/>
  <c r="AW48" i="10"/>
  <c r="AS48" i="10"/>
  <c r="AO48" i="10"/>
  <c r="AK48" i="10"/>
  <c r="AG48" i="10"/>
  <c r="AC48" i="10"/>
  <c r="Y48" i="10"/>
  <c r="U48" i="10"/>
  <c r="DO48" i="10" s="1"/>
  <c r="DQ48" i="10" s="1"/>
  <c r="DS48" i="10" s="1"/>
  <c r="DE47" i="10"/>
  <c r="DA47" i="10"/>
  <c r="CW47" i="10"/>
  <c r="CS47" i="10"/>
  <c r="CO47" i="10"/>
  <c r="BI47" i="10"/>
  <c r="BE47" i="10"/>
  <c r="BA47" i="10"/>
  <c r="AW47" i="10"/>
  <c r="AS47" i="10"/>
  <c r="AO47" i="10"/>
  <c r="AK47" i="10"/>
  <c r="AG47" i="10"/>
  <c r="AC47" i="10"/>
  <c r="Y47" i="10"/>
  <c r="U47" i="10"/>
  <c r="DO47" i="10" s="1"/>
  <c r="DQ47" i="10" s="1"/>
  <c r="DS47" i="10" s="1"/>
  <c r="DE46" i="10"/>
  <c r="DA46" i="10"/>
  <c r="CW46" i="10"/>
  <c r="CS46" i="10"/>
  <c r="CO46" i="10"/>
  <c r="BI46" i="10"/>
  <c r="BE46" i="10"/>
  <c r="BA46" i="10"/>
  <c r="AW46" i="10"/>
  <c r="AS46" i="10"/>
  <c r="AO46" i="10"/>
  <c r="AK46" i="10"/>
  <c r="AG46" i="10"/>
  <c r="AC46" i="10"/>
  <c r="Y46" i="10"/>
  <c r="U46" i="10"/>
  <c r="DO46" i="10" s="1"/>
  <c r="DQ46" i="10" s="1"/>
  <c r="DS46" i="10" s="1"/>
  <c r="DE45" i="10"/>
  <c r="DA45" i="10"/>
  <c r="CW45" i="10"/>
  <c r="CS45" i="10"/>
  <c r="CO45" i="10"/>
  <c r="BI45" i="10"/>
  <c r="BE45" i="10"/>
  <c r="BA45" i="10"/>
  <c r="AW45" i="10"/>
  <c r="AS45" i="10"/>
  <c r="AO45" i="10"/>
  <c r="AK45" i="10"/>
  <c r="AG45" i="10"/>
  <c r="AC45" i="10"/>
  <c r="Y45" i="10"/>
  <c r="U45" i="10"/>
  <c r="DO45" i="10" s="1"/>
  <c r="DQ45" i="10" s="1"/>
  <c r="DS45" i="10" s="1"/>
  <c r="DE44" i="10"/>
  <c r="DA44" i="10"/>
  <c r="CW44" i="10"/>
  <c r="CS44" i="10"/>
  <c r="CO44" i="10"/>
  <c r="BI44" i="10"/>
  <c r="BE44" i="10"/>
  <c r="BA44" i="10"/>
  <c r="AW44" i="10"/>
  <c r="AS44" i="10"/>
  <c r="AO44" i="10"/>
  <c r="AK44" i="10"/>
  <c r="AG44" i="10"/>
  <c r="AC44" i="10"/>
  <c r="Y44" i="10"/>
  <c r="U44" i="10"/>
  <c r="DE43" i="10"/>
  <c r="DA43" i="10"/>
  <c r="CW43" i="10"/>
  <c r="CS43" i="10"/>
  <c r="CO43" i="10"/>
  <c r="BI43" i="10"/>
  <c r="BE43" i="10"/>
  <c r="BA43" i="10"/>
  <c r="AW43" i="10"/>
  <c r="AS43" i="10"/>
  <c r="AO43" i="10"/>
  <c r="AK43" i="10"/>
  <c r="AG43" i="10"/>
  <c r="AC43" i="10"/>
  <c r="Y43" i="10"/>
  <c r="U43" i="10"/>
  <c r="DO43" i="10" s="1"/>
  <c r="DQ43" i="10" s="1"/>
  <c r="DS43" i="10" s="1"/>
  <c r="DE42" i="10"/>
  <c r="DA42" i="10"/>
  <c r="CW42" i="10"/>
  <c r="CS42" i="10"/>
  <c r="CO42" i="10"/>
  <c r="BI42" i="10"/>
  <c r="BE42" i="10"/>
  <c r="BA42" i="10"/>
  <c r="AW42" i="10"/>
  <c r="AS42" i="10"/>
  <c r="AO42" i="10"/>
  <c r="AK42" i="10"/>
  <c r="AG42" i="10"/>
  <c r="AC42" i="10"/>
  <c r="Y42" i="10"/>
  <c r="U42" i="10"/>
  <c r="DO42" i="10" s="1"/>
  <c r="DQ42" i="10" s="1"/>
  <c r="DS42" i="10" s="1"/>
  <c r="DE41" i="10"/>
  <c r="DA41" i="10"/>
  <c r="CW41" i="10"/>
  <c r="CS41" i="10"/>
  <c r="CO41" i="10"/>
  <c r="BI41" i="10"/>
  <c r="BE41" i="10"/>
  <c r="BA41" i="10"/>
  <c r="AW41" i="10"/>
  <c r="AS41" i="10"/>
  <c r="AO41" i="10"/>
  <c r="AK41" i="10"/>
  <c r="AG41" i="10"/>
  <c r="AC41" i="10"/>
  <c r="Y41" i="10"/>
  <c r="U41" i="10"/>
  <c r="DO41" i="10" s="1"/>
  <c r="DQ41" i="10" s="1"/>
  <c r="DS41" i="10" s="1"/>
  <c r="DE40" i="10"/>
  <c r="DA40" i="10"/>
  <c r="CW40" i="10"/>
  <c r="CS40" i="10"/>
  <c r="CO40" i="10"/>
  <c r="BI40" i="10"/>
  <c r="BE40" i="10"/>
  <c r="BA40" i="10"/>
  <c r="AW40" i="10"/>
  <c r="AS40" i="10"/>
  <c r="AO40" i="10"/>
  <c r="AK40" i="10"/>
  <c r="AG40" i="10"/>
  <c r="AC40" i="10"/>
  <c r="Y40" i="10"/>
  <c r="U40" i="10"/>
  <c r="DO40" i="10" s="1"/>
  <c r="DQ40" i="10" s="1"/>
  <c r="DS40" i="10" s="1"/>
  <c r="DE39" i="10"/>
  <c r="DA39" i="10"/>
  <c r="CW39" i="10"/>
  <c r="CS39" i="10"/>
  <c r="CO39" i="10"/>
  <c r="BI39" i="10"/>
  <c r="BE39" i="10"/>
  <c r="BA39" i="10"/>
  <c r="AW39" i="10"/>
  <c r="AS39" i="10"/>
  <c r="AO39" i="10"/>
  <c r="AK39" i="10"/>
  <c r="AG39" i="10"/>
  <c r="AC39" i="10"/>
  <c r="Y39" i="10"/>
  <c r="U39" i="10"/>
  <c r="DO39" i="10" s="1"/>
  <c r="DQ39" i="10" s="1"/>
  <c r="DS39" i="10" s="1"/>
  <c r="DE38" i="10"/>
  <c r="DA38" i="10"/>
  <c r="CW38" i="10"/>
  <c r="CS38" i="10"/>
  <c r="CO38" i="10"/>
  <c r="BI38" i="10"/>
  <c r="BE38" i="10"/>
  <c r="BA38" i="10"/>
  <c r="AW38" i="10"/>
  <c r="AS38" i="10"/>
  <c r="AO38" i="10"/>
  <c r="AK38" i="10"/>
  <c r="AG38" i="10"/>
  <c r="AC38" i="10"/>
  <c r="Y38" i="10"/>
  <c r="U38" i="10"/>
  <c r="DO38" i="10" s="1"/>
  <c r="DQ38" i="10" s="1"/>
  <c r="DS38" i="10" s="1"/>
  <c r="DE37" i="10"/>
  <c r="DA37" i="10"/>
  <c r="CW37" i="10"/>
  <c r="CS37" i="10"/>
  <c r="CO37" i="10"/>
  <c r="BI37" i="10"/>
  <c r="BE37" i="10"/>
  <c r="BA37" i="10"/>
  <c r="AW37" i="10"/>
  <c r="AS37" i="10"/>
  <c r="AO37" i="10"/>
  <c r="AK37" i="10"/>
  <c r="AG37" i="10"/>
  <c r="AC37" i="10"/>
  <c r="Y37" i="10"/>
  <c r="U37" i="10"/>
  <c r="DO37" i="10" s="1"/>
  <c r="DQ37" i="10" s="1"/>
  <c r="DS37" i="10" s="1"/>
  <c r="DE36" i="10"/>
  <c r="DA36" i="10"/>
  <c r="CW36" i="10"/>
  <c r="CS36" i="10"/>
  <c r="CO36" i="10"/>
  <c r="BI36" i="10"/>
  <c r="BE36" i="10"/>
  <c r="BA36" i="10"/>
  <c r="AW36" i="10"/>
  <c r="AS36" i="10"/>
  <c r="AO36" i="10"/>
  <c r="AK36" i="10"/>
  <c r="AG36" i="10"/>
  <c r="AC36" i="10"/>
  <c r="Y36" i="10"/>
  <c r="U36" i="10"/>
  <c r="DO36" i="10" s="1"/>
  <c r="DQ36" i="10" s="1"/>
  <c r="DS36" i="10" s="1"/>
  <c r="DE35" i="10"/>
  <c r="DA35" i="10"/>
  <c r="CW35" i="10"/>
  <c r="CS35" i="10"/>
  <c r="CO35" i="10"/>
  <c r="BI35" i="10"/>
  <c r="BE35" i="10"/>
  <c r="BA35" i="10"/>
  <c r="AW35" i="10"/>
  <c r="AS35" i="10"/>
  <c r="AO35" i="10"/>
  <c r="AK35" i="10"/>
  <c r="AG35" i="10"/>
  <c r="AC35" i="10"/>
  <c r="Y35" i="10"/>
  <c r="U35" i="10"/>
  <c r="DO35" i="10" s="1"/>
  <c r="DQ35" i="10" s="1"/>
  <c r="DS35" i="10" s="1"/>
  <c r="DE34" i="10"/>
  <c r="DA34" i="10"/>
  <c r="CW34" i="10"/>
  <c r="CS34" i="10"/>
  <c r="CO34" i="10"/>
  <c r="BI34" i="10"/>
  <c r="BE34" i="10"/>
  <c r="BA34" i="10"/>
  <c r="AW34" i="10"/>
  <c r="AS34" i="10"/>
  <c r="AO34" i="10"/>
  <c r="AK34" i="10"/>
  <c r="AG34" i="10"/>
  <c r="AC34" i="10"/>
  <c r="Y34" i="10"/>
  <c r="U34" i="10"/>
  <c r="DO34" i="10" s="1"/>
  <c r="DQ34" i="10" s="1"/>
  <c r="DS34" i="10" s="1"/>
  <c r="DE33" i="10"/>
  <c r="DA33" i="10"/>
  <c r="CW33" i="10"/>
  <c r="CS33" i="10"/>
  <c r="CO33" i="10"/>
  <c r="BI33" i="10"/>
  <c r="BE33" i="10"/>
  <c r="BA33" i="10"/>
  <c r="AW33" i="10"/>
  <c r="AS33" i="10"/>
  <c r="AO33" i="10"/>
  <c r="AK33" i="10"/>
  <c r="AG33" i="10"/>
  <c r="AC33" i="10"/>
  <c r="Y33" i="10"/>
  <c r="U33" i="10"/>
  <c r="DO33" i="10" s="1"/>
  <c r="DQ33" i="10" s="1"/>
  <c r="DS33" i="10" s="1"/>
  <c r="DE32" i="10"/>
  <c r="DA32" i="10"/>
  <c r="CW32" i="10"/>
  <c r="CS32" i="10"/>
  <c r="CO32" i="10"/>
  <c r="BI32" i="10"/>
  <c r="BE32" i="10"/>
  <c r="BA32" i="10"/>
  <c r="AW32" i="10"/>
  <c r="AS32" i="10"/>
  <c r="AO32" i="10"/>
  <c r="AK32" i="10"/>
  <c r="AG32" i="10"/>
  <c r="AC32" i="10"/>
  <c r="Y32" i="10"/>
  <c r="U32" i="10"/>
  <c r="DO32" i="10" s="1"/>
  <c r="DQ32" i="10" s="1"/>
  <c r="DS32" i="10" s="1"/>
  <c r="DE31" i="10"/>
  <c r="DA31" i="10"/>
  <c r="CW31" i="10"/>
  <c r="CS31" i="10"/>
  <c r="CO31" i="10"/>
  <c r="BI31" i="10"/>
  <c r="BE31" i="10"/>
  <c r="BA31" i="10"/>
  <c r="AW31" i="10"/>
  <c r="AS31" i="10"/>
  <c r="AO31" i="10"/>
  <c r="AK31" i="10"/>
  <c r="AG31" i="10"/>
  <c r="AC31" i="10"/>
  <c r="Y31" i="10"/>
  <c r="U31" i="10"/>
  <c r="DO31" i="10" s="1"/>
  <c r="DQ31" i="10" s="1"/>
  <c r="DS31" i="10" s="1"/>
  <c r="DE30" i="10"/>
  <c r="DA30" i="10"/>
  <c r="CW30" i="10"/>
  <c r="CS30" i="10"/>
  <c r="CO30" i="10"/>
  <c r="BI30" i="10"/>
  <c r="BE30" i="10"/>
  <c r="BA30" i="10"/>
  <c r="AW30" i="10"/>
  <c r="AS30" i="10"/>
  <c r="AO30" i="10"/>
  <c r="AK30" i="10"/>
  <c r="AG30" i="10"/>
  <c r="AC30" i="10"/>
  <c r="Y30" i="10"/>
  <c r="U30" i="10"/>
  <c r="DO30" i="10" s="1"/>
  <c r="DQ30" i="10" s="1"/>
  <c r="DS30" i="10" s="1"/>
  <c r="DE29" i="10"/>
  <c r="DA29" i="10"/>
  <c r="CW29" i="10"/>
  <c r="CS29" i="10"/>
  <c r="CO29" i="10"/>
  <c r="BI29" i="10"/>
  <c r="BE29" i="10"/>
  <c r="BA29" i="10"/>
  <c r="AW29" i="10"/>
  <c r="AS29" i="10"/>
  <c r="AO29" i="10"/>
  <c r="AK29" i="10"/>
  <c r="AG29" i="10"/>
  <c r="AC29" i="10"/>
  <c r="Y29" i="10"/>
  <c r="U29" i="10"/>
  <c r="DE28" i="10"/>
  <c r="DA28" i="10"/>
  <c r="CW28" i="10"/>
  <c r="CS28" i="10"/>
  <c r="CO28" i="10"/>
  <c r="BI28" i="10"/>
  <c r="BE28" i="10"/>
  <c r="BA28" i="10"/>
  <c r="AW28" i="10"/>
  <c r="AS28" i="10"/>
  <c r="AO28" i="10"/>
  <c r="AK28" i="10"/>
  <c r="AG28" i="10"/>
  <c r="AC28" i="10"/>
  <c r="Y28" i="10"/>
  <c r="U28" i="10"/>
  <c r="DO28" i="10" s="1"/>
  <c r="DQ28" i="10" s="1"/>
  <c r="DS28" i="10" s="1"/>
  <c r="DE27" i="10"/>
  <c r="DA27" i="10"/>
  <c r="CW27" i="10"/>
  <c r="CS27" i="10"/>
  <c r="CO27" i="10"/>
  <c r="BI27" i="10"/>
  <c r="BE27" i="10"/>
  <c r="BA27" i="10"/>
  <c r="AW27" i="10"/>
  <c r="AS27" i="10"/>
  <c r="AO27" i="10"/>
  <c r="AK27" i="10"/>
  <c r="AG27" i="10"/>
  <c r="AC27" i="10"/>
  <c r="Y27" i="10"/>
  <c r="U27" i="10"/>
  <c r="DO27" i="10" s="1"/>
  <c r="DQ27" i="10" s="1"/>
  <c r="DS27" i="10" s="1"/>
  <c r="DE26" i="10"/>
  <c r="DA26" i="10"/>
  <c r="CW26" i="10"/>
  <c r="CS26" i="10"/>
  <c r="CO26" i="10"/>
  <c r="BI26" i="10"/>
  <c r="BE26" i="10"/>
  <c r="BA26" i="10"/>
  <c r="AW26" i="10"/>
  <c r="AS26" i="10"/>
  <c r="AO26" i="10"/>
  <c r="AK26" i="10"/>
  <c r="AG26" i="10"/>
  <c r="AC26" i="10"/>
  <c r="Y26" i="10"/>
  <c r="U26" i="10"/>
  <c r="DO26" i="10" s="1"/>
  <c r="DQ26" i="10" s="1"/>
  <c r="DS26" i="10" s="1"/>
  <c r="DE25" i="10"/>
  <c r="DA25" i="10"/>
  <c r="CW25" i="10"/>
  <c r="CS25" i="10"/>
  <c r="CO25" i="10"/>
  <c r="BI25" i="10"/>
  <c r="BE25" i="10"/>
  <c r="BA25" i="10"/>
  <c r="AW25" i="10"/>
  <c r="AS25" i="10"/>
  <c r="AO25" i="10"/>
  <c r="AK25" i="10"/>
  <c r="AG25" i="10"/>
  <c r="AC25" i="10"/>
  <c r="Y25" i="10"/>
  <c r="U25" i="10"/>
  <c r="DE24" i="10"/>
  <c r="DA24" i="10"/>
  <c r="CW24" i="10"/>
  <c r="CS24" i="10"/>
  <c r="CO24" i="10"/>
  <c r="BI24" i="10"/>
  <c r="BE24" i="10"/>
  <c r="BA24" i="10"/>
  <c r="AW24" i="10"/>
  <c r="AS24" i="10"/>
  <c r="AO24" i="10"/>
  <c r="AK24" i="10"/>
  <c r="AG24" i="10"/>
  <c r="AC24" i="10"/>
  <c r="Y24" i="10"/>
  <c r="U24" i="10"/>
  <c r="DO24" i="10" s="1"/>
  <c r="DQ24" i="10" s="1"/>
  <c r="DS24" i="10" s="1"/>
  <c r="DE23" i="10"/>
  <c r="DA23" i="10"/>
  <c r="CW23" i="10"/>
  <c r="CS23" i="10"/>
  <c r="CO23" i="10"/>
  <c r="BI23" i="10"/>
  <c r="BE23" i="10"/>
  <c r="BA23" i="10"/>
  <c r="AW23" i="10"/>
  <c r="AS23" i="10"/>
  <c r="AO23" i="10"/>
  <c r="AK23" i="10"/>
  <c r="AG23" i="10"/>
  <c r="AC23" i="10"/>
  <c r="Y23" i="10"/>
  <c r="U23" i="10"/>
  <c r="DE22" i="10"/>
  <c r="DA22" i="10"/>
  <c r="CW22" i="10"/>
  <c r="CS22" i="10"/>
  <c r="CO22" i="10"/>
  <c r="BI22" i="10"/>
  <c r="BE22" i="10"/>
  <c r="BA22" i="10"/>
  <c r="AW22" i="10"/>
  <c r="AS22" i="10"/>
  <c r="AO22" i="10"/>
  <c r="AK22" i="10"/>
  <c r="AG22" i="10"/>
  <c r="AC22" i="10"/>
  <c r="Y22" i="10"/>
  <c r="U22" i="10"/>
  <c r="DO22" i="10" s="1"/>
  <c r="DQ22" i="10" s="1"/>
  <c r="DS22" i="10" s="1"/>
  <c r="DE21" i="10"/>
  <c r="DA21" i="10"/>
  <c r="CW21" i="10"/>
  <c r="CS21" i="10"/>
  <c r="CO21" i="10"/>
  <c r="BI21" i="10"/>
  <c r="BE21" i="10"/>
  <c r="BA21" i="10"/>
  <c r="AW21" i="10"/>
  <c r="AS21" i="10"/>
  <c r="AO21" i="10"/>
  <c r="AK21" i="10"/>
  <c r="AG21" i="10"/>
  <c r="AC21" i="10"/>
  <c r="Y21" i="10"/>
  <c r="U21" i="10"/>
  <c r="DO21" i="10" s="1"/>
  <c r="DQ21" i="10" s="1"/>
  <c r="DS21" i="10" s="1"/>
  <c r="DE20" i="10"/>
  <c r="DA20" i="10"/>
  <c r="CW20" i="10"/>
  <c r="CS20" i="10"/>
  <c r="CO20" i="10"/>
  <c r="BI20" i="10"/>
  <c r="BE20" i="10"/>
  <c r="BA20" i="10"/>
  <c r="AW20" i="10"/>
  <c r="AS20" i="10"/>
  <c r="AO20" i="10"/>
  <c r="AK20" i="10"/>
  <c r="AG20" i="10"/>
  <c r="AC20" i="10"/>
  <c r="Y20" i="10"/>
  <c r="U20" i="10"/>
  <c r="DO20" i="10" s="1"/>
  <c r="DQ20" i="10" s="1"/>
  <c r="DS20" i="10" s="1"/>
  <c r="DE19" i="10"/>
  <c r="DA19" i="10"/>
  <c r="CW19" i="10"/>
  <c r="CS19" i="10"/>
  <c r="CO19" i="10"/>
  <c r="BI19" i="10"/>
  <c r="BE19" i="10"/>
  <c r="BA19" i="10"/>
  <c r="AW19" i="10"/>
  <c r="AS19" i="10"/>
  <c r="AO19" i="10"/>
  <c r="AK19" i="10"/>
  <c r="AG19" i="10"/>
  <c r="AC19" i="10"/>
  <c r="Y19" i="10"/>
  <c r="U19" i="10"/>
  <c r="DE18" i="10"/>
  <c r="DA18" i="10"/>
  <c r="CW18" i="10"/>
  <c r="CS18" i="10"/>
  <c r="CO18" i="10"/>
  <c r="BI18" i="10"/>
  <c r="BE18" i="10"/>
  <c r="BA18" i="10"/>
  <c r="AW18" i="10"/>
  <c r="AS18" i="10"/>
  <c r="AO18" i="10"/>
  <c r="AK18" i="10"/>
  <c r="AG18" i="10"/>
  <c r="AC18" i="10"/>
  <c r="Y18" i="10"/>
  <c r="U18" i="10"/>
  <c r="DO18" i="10" s="1"/>
  <c r="DQ18" i="10" s="1"/>
  <c r="DS18" i="10" s="1"/>
  <c r="DE17" i="10"/>
  <c r="DA17" i="10"/>
  <c r="CW17" i="10"/>
  <c r="CS17" i="10"/>
  <c r="CO17" i="10"/>
  <c r="BI17" i="10"/>
  <c r="BE17" i="10"/>
  <c r="BA17" i="10"/>
  <c r="AW17" i="10"/>
  <c r="AS17" i="10"/>
  <c r="AO17" i="10"/>
  <c r="AK17" i="10"/>
  <c r="AG17" i="10"/>
  <c r="AC17" i="10"/>
  <c r="Y17" i="10"/>
  <c r="U17" i="10"/>
  <c r="DE16" i="10"/>
  <c r="DA16" i="10"/>
  <c r="CW16" i="10"/>
  <c r="CS16" i="10"/>
  <c r="CO16" i="10"/>
  <c r="BI16" i="10"/>
  <c r="BE16" i="10"/>
  <c r="BA16" i="10"/>
  <c r="AW16" i="10"/>
  <c r="AS16" i="10"/>
  <c r="AO16" i="10"/>
  <c r="AK16" i="10"/>
  <c r="AG16" i="10"/>
  <c r="AC16" i="10"/>
  <c r="Y16" i="10"/>
  <c r="U16" i="10"/>
  <c r="DE15" i="10"/>
  <c r="DA15" i="10"/>
  <c r="CW15" i="10"/>
  <c r="CS15" i="10"/>
  <c r="CO15" i="10"/>
  <c r="BI15" i="10"/>
  <c r="BE15" i="10"/>
  <c r="BA15" i="10"/>
  <c r="AW15" i="10"/>
  <c r="AS15" i="10"/>
  <c r="AO15" i="10"/>
  <c r="AK15" i="10"/>
  <c r="AG15" i="10"/>
  <c r="AC15" i="10"/>
  <c r="Y15" i="10"/>
  <c r="U15" i="10"/>
  <c r="DE14" i="10"/>
  <c r="DA14" i="10"/>
  <c r="CW14" i="10"/>
  <c r="CS14" i="10"/>
  <c r="CO14" i="10"/>
  <c r="BI14" i="10"/>
  <c r="BE14" i="10"/>
  <c r="BA14" i="10"/>
  <c r="AW14" i="10"/>
  <c r="AS14" i="10"/>
  <c r="AO14" i="10"/>
  <c r="AK14" i="10"/>
  <c r="AG14" i="10"/>
  <c r="AC14" i="10"/>
  <c r="Y14" i="10"/>
  <c r="U14" i="10"/>
  <c r="DE13" i="10"/>
  <c r="DA13" i="10"/>
  <c r="CW13" i="10"/>
  <c r="CS13" i="10"/>
  <c r="CO13" i="10"/>
  <c r="BI13" i="10"/>
  <c r="BE13" i="10"/>
  <c r="BA13" i="10"/>
  <c r="AW13" i="10"/>
  <c r="AS13" i="10"/>
  <c r="AO13" i="10"/>
  <c r="AK13" i="10"/>
  <c r="AG13" i="10"/>
  <c r="AC13" i="10"/>
  <c r="Y13" i="10"/>
  <c r="U13" i="10"/>
  <c r="DE12" i="10"/>
  <c r="DA12" i="10"/>
  <c r="CW12" i="10"/>
  <c r="CS12" i="10"/>
  <c r="CO12" i="10"/>
  <c r="BI12" i="10"/>
  <c r="BE12" i="10"/>
  <c r="BA12" i="10"/>
  <c r="AW12" i="10"/>
  <c r="AS12" i="10"/>
  <c r="AO12" i="10"/>
  <c r="AK12" i="10"/>
  <c r="AG12" i="10"/>
  <c r="AC12" i="10"/>
  <c r="Y12" i="10"/>
  <c r="U12" i="10"/>
  <c r="DE11" i="10"/>
  <c r="DA11" i="10"/>
  <c r="CW11" i="10"/>
  <c r="CS11" i="10"/>
  <c r="CO11" i="10"/>
  <c r="BI11" i="10"/>
  <c r="BE11" i="10"/>
  <c r="BA11" i="10"/>
  <c r="AW11" i="10"/>
  <c r="AS11" i="10"/>
  <c r="AO11" i="10"/>
  <c r="AK11" i="10"/>
  <c r="AG11" i="10"/>
  <c r="AC11" i="10"/>
  <c r="Y11" i="10"/>
  <c r="U11" i="10"/>
  <c r="DE10" i="10"/>
  <c r="DA10" i="10"/>
  <c r="CW10" i="10"/>
  <c r="CS10" i="10"/>
  <c r="CO10" i="10"/>
  <c r="BI10" i="10"/>
  <c r="BE10" i="10"/>
  <c r="BA10" i="10"/>
  <c r="AW10" i="10"/>
  <c r="AS10" i="10"/>
  <c r="AO10" i="10"/>
  <c r="AK10" i="10"/>
  <c r="AG10" i="10"/>
  <c r="AC10" i="10"/>
  <c r="Y10" i="10"/>
  <c r="U10" i="10"/>
  <c r="DE9" i="10"/>
  <c r="DA9" i="10"/>
  <c r="CW9" i="10"/>
  <c r="CS9" i="10"/>
  <c r="CO9" i="10"/>
  <c r="BI9" i="10"/>
  <c r="BE9" i="10"/>
  <c r="BA9" i="10"/>
  <c r="AW9" i="10"/>
  <c r="AS9" i="10"/>
  <c r="AO9" i="10"/>
  <c r="AK9" i="10"/>
  <c r="AG9" i="10"/>
  <c r="AC9" i="10"/>
  <c r="Y9" i="10"/>
  <c r="U9" i="10"/>
  <c r="DE8" i="10"/>
  <c r="DA8" i="10"/>
  <c r="CW8" i="10"/>
  <c r="CS8" i="10"/>
  <c r="CO8" i="10"/>
  <c r="BI8" i="10"/>
  <c r="BE8" i="10"/>
  <c r="BA8" i="10"/>
  <c r="AW8" i="10"/>
  <c r="AS8" i="10"/>
  <c r="AO8" i="10"/>
  <c r="AK8" i="10"/>
  <c r="AG8" i="10"/>
  <c r="AC8" i="10"/>
  <c r="Y8" i="10"/>
  <c r="U8" i="10"/>
  <c r="DE7" i="10"/>
  <c r="DA7" i="10"/>
  <c r="CW7" i="10"/>
  <c r="CS7" i="10"/>
  <c r="CO7" i="10"/>
  <c r="BI7" i="10"/>
  <c r="BE7" i="10"/>
  <c r="BA7" i="10"/>
  <c r="AW7" i="10"/>
  <c r="AS7" i="10"/>
  <c r="AO7" i="10"/>
  <c r="AK7" i="10"/>
  <c r="AG7" i="10"/>
  <c r="AC7" i="10"/>
  <c r="Y7" i="10"/>
  <c r="U7" i="10"/>
  <c r="DE6" i="10"/>
  <c r="DA6" i="10"/>
  <c r="CW6" i="10"/>
  <c r="CS6" i="10"/>
  <c r="CO6" i="10"/>
  <c r="BE6" i="10"/>
  <c r="BA6" i="10"/>
  <c r="AW6" i="10"/>
  <c r="AS6" i="10"/>
  <c r="AO6" i="10"/>
  <c r="AK6" i="10"/>
  <c r="AG6" i="10"/>
  <c r="AC6" i="10"/>
  <c r="Y6" i="10"/>
  <c r="U6" i="10"/>
  <c r="DE5" i="10"/>
  <c r="DA5" i="10"/>
  <c r="CW5" i="10"/>
  <c r="CS5" i="10"/>
  <c r="CO5" i="10"/>
  <c r="BI5" i="10"/>
  <c r="BE5" i="10"/>
  <c r="BA5" i="10"/>
  <c r="AS5" i="10"/>
  <c r="AO5" i="10"/>
  <c r="AK5" i="10"/>
  <c r="AG5" i="10"/>
  <c r="AC5" i="10"/>
  <c r="Y5" i="10"/>
  <c r="U5" i="10"/>
  <c r="DE5" i="4"/>
  <c r="DA5" i="4"/>
  <c r="DE70" i="4"/>
  <c r="DE69" i="4"/>
  <c r="DE68" i="4"/>
  <c r="DE67" i="4"/>
  <c r="DE66" i="4"/>
  <c r="DE65" i="4"/>
  <c r="DE64" i="4"/>
  <c r="DE63" i="4"/>
  <c r="DE62" i="4"/>
  <c r="DE61" i="4"/>
  <c r="DE60" i="4"/>
  <c r="DE59" i="4"/>
  <c r="DE58" i="4"/>
  <c r="DE57" i="4"/>
  <c r="DE56" i="4"/>
  <c r="DE55" i="4"/>
  <c r="DE54" i="4"/>
  <c r="DE53" i="4"/>
  <c r="DE52" i="4"/>
  <c r="DE51" i="4"/>
  <c r="DE50" i="4"/>
  <c r="DE49" i="4"/>
  <c r="DE48" i="4"/>
  <c r="DE47" i="4"/>
  <c r="DE46" i="4"/>
  <c r="DE45" i="4"/>
  <c r="DE44" i="4"/>
  <c r="DE43" i="4"/>
  <c r="DE42" i="4"/>
  <c r="DE41" i="4"/>
  <c r="DE40" i="4"/>
  <c r="DE39" i="4"/>
  <c r="DE38" i="4"/>
  <c r="DE37" i="4"/>
  <c r="DE36" i="4"/>
  <c r="DE35" i="4"/>
  <c r="DE34" i="4"/>
  <c r="DE33" i="4"/>
  <c r="DE32" i="4"/>
  <c r="DE31" i="4"/>
  <c r="DE30" i="4"/>
  <c r="DE29" i="4"/>
  <c r="DE28" i="4"/>
  <c r="DE27" i="4"/>
  <c r="DE26" i="4"/>
  <c r="DE25" i="4"/>
  <c r="DE24" i="4"/>
  <c r="DE23" i="4"/>
  <c r="DE22" i="4"/>
  <c r="DE21" i="4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A70" i="4"/>
  <c r="DA69" i="4"/>
  <c r="DA68" i="4"/>
  <c r="DA67" i="4"/>
  <c r="DA66" i="4"/>
  <c r="DA65" i="4"/>
  <c r="DA64" i="4"/>
  <c r="DA63" i="4"/>
  <c r="DA62" i="4"/>
  <c r="DA61" i="4"/>
  <c r="DA60" i="4"/>
  <c r="DA59" i="4"/>
  <c r="DA58" i="4"/>
  <c r="DA57" i="4"/>
  <c r="DA56" i="4"/>
  <c r="DA55" i="4"/>
  <c r="DA54" i="4"/>
  <c r="DA53" i="4"/>
  <c r="DA52" i="4"/>
  <c r="DA51" i="4"/>
  <c r="DA50" i="4"/>
  <c r="DA49" i="4"/>
  <c r="DA48" i="4"/>
  <c r="DA47" i="4"/>
  <c r="DA46" i="4"/>
  <c r="DA45" i="4"/>
  <c r="DA44" i="4"/>
  <c r="DA43" i="4"/>
  <c r="DA42" i="4"/>
  <c r="DA41" i="4"/>
  <c r="DA40" i="4"/>
  <c r="DA39" i="4"/>
  <c r="DA38" i="4"/>
  <c r="DA37" i="4"/>
  <c r="DA36" i="4"/>
  <c r="DA35" i="4"/>
  <c r="DA34" i="4"/>
  <c r="DA33" i="4"/>
  <c r="DA32" i="4"/>
  <c r="DA31" i="4"/>
  <c r="DA30" i="4"/>
  <c r="DA29" i="4"/>
  <c r="DA28" i="4"/>
  <c r="DA27" i="4"/>
  <c r="DA26" i="4"/>
  <c r="DA25" i="4"/>
  <c r="DA24" i="4"/>
  <c r="DA23" i="4"/>
  <c r="DA22" i="4"/>
  <c r="DA21" i="4"/>
  <c r="DA20" i="4"/>
  <c r="DA19" i="4"/>
  <c r="DA18" i="4"/>
  <c r="DA17" i="4"/>
  <c r="DA16" i="4"/>
  <c r="DA15" i="4"/>
  <c r="DA14" i="4"/>
  <c r="CW69" i="4"/>
  <c r="CW68" i="4"/>
  <c r="CW67" i="4"/>
  <c r="CW66" i="4"/>
  <c r="CW65" i="4"/>
  <c r="CW64" i="4"/>
  <c r="CW63" i="4"/>
  <c r="CW62" i="4"/>
  <c r="CW61" i="4"/>
  <c r="CW60" i="4"/>
  <c r="CW59" i="4"/>
  <c r="CW58" i="4"/>
  <c r="CW57" i="4"/>
  <c r="CW56" i="4"/>
  <c r="CW55" i="4"/>
  <c r="CW54" i="4"/>
  <c r="CW53" i="4"/>
  <c r="CW52" i="4"/>
  <c r="CW51" i="4"/>
  <c r="CW50" i="4"/>
  <c r="CW49" i="4"/>
  <c r="CW48" i="4"/>
  <c r="CW47" i="4"/>
  <c r="CW46" i="4"/>
  <c r="CW45" i="4"/>
  <c r="CW44" i="4"/>
  <c r="CW43" i="4"/>
  <c r="CW42" i="4"/>
  <c r="CW41" i="4"/>
  <c r="CW40" i="4"/>
  <c r="CW39" i="4"/>
  <c r="CW38" i="4"/>
  <c r="CW37" i="4"/>
  <c r="CW36" i="4"/>
  <c r="CW35" i="4"/>
  <c r="CW34" i="4"/>
  <c r="CW33" i="4"/>
  <c r="CW32" i="4"/>
  <c r="CW31" i="4"/>
  <c r="CW30" i="4"/>
  <c r="CW29" i="4"/>
  <c r="CW28" i="4"/>
  <c r="CW27" i="4"/>
  <c r="CW26" i="4"/>
  <c r="CW25" i="4"/>
  <c r="CW24" i="4"/>
  <c r="CW23" i="4"/>
  <c r="CW22" i="4"/>
  <c r="CW21" i="4"/>
  <c r="CW20" i="4"/>
  <c r="CW19" i="4"/>
  <c r="CW18" i="4"/>
  <c r="CW17" i="4"/>
  <c r="CW16" i="4"/>
  <c r="CW15" i="4"/>
  <c r="CW14" i="4"/>
  <c r="CW5" i="4"/>
  <c r="CS69" i="4"/>
  <c r="CS68" i="4"/>
  <c r="CS67" i="4"/>
  <c r="CS66" i="4"/>
  <c r="CS65" i="4"/>
  <c r="CS64" i="4"/>
  <c r="CS63" i="4"/>
  <c r="CS62" i="4"/>
  <c r="CS61" i="4"/>
  <c r="CS60" i="4"/>
  <c r="CS59" i="4"/>
  <c r="CS58" i="4"/>
  <c r="CS57" i="4"/>
  <c r="CS56" i="4"/>
  <c r="CS55" i="4"/>
  <c r="CS54" i="4"/>
  <c r="CS53" i="4"/>
  <c r="CS52" i="4"/>
  <c r="CS51" i="4"/>
  <c r="CS50" i="4"/>
  <c r="CS49" i="4"/>
  <c r="CS48" i="4"/>
  <c r="CS47" i="4"/>
  <c r="CS46" i="4"/>
  <c r="CS45" i="4"/>
  <c r="CS44" i="4"/>
  <c r="CS43" i="4"/>
  <c r="CS42" i="4"/>
  <c r="CS41" i="4"/>
  <c r="CS40" i="4"/>
  <c r="CS39" i="4"/>
  <c r="CS38" i="4"/>
  <c r="CS37" i="4"/>
  <c r="CS36" i="4"/>
  <c r="CS35" i="4"/>
  <c r="CS34" i="4"/>
  <c r="CS33" i="4"/>
  <c r="CS32" i="4"/>
  <c r="CS31" i="4"/>
  <c r="CS30" i="4"/>
  <c r="CS29" i="4"/>
  <c r="CS28" i="4"/>
  <c r="CS27" i="4"/>
  <c r="CS26" i="4"/>
  <c r="CS25" i="4"/>
  <c r="CS24" i="4"/>
  <c r="CS23" i="4"/>
  <c r="CS22" i="4"/>
  <c r="CS21" i="4"/>
  <c r="CS20" i="4"/>
  <c r="CS19" i="4"/>
  <c r="CS18" i="4"/>
  <c r="CS17" i="4"/>
  <c r="CS16" i="4"/>
  <c r="CS15" i="4"/>
  <c r="CS5" i="4"/>
  <c r="CO70" i="4"/>
  <c r="CO69" i="4"/>
  <c r="CO68" i="4"/>
  <c r="CO67" i="4"/>
  <c r="CO66" i="4"/>
  <c r="CO65" i="4"/>
  <c r="CO64" i="4"/>
  <c r="CO63" i="4"/>
  <c r="CO62" i="4"/>
  <c r="CO61" i="4"/>
  <c r="CO60" i="4"/>
  <c r="CO59" i="4"/>
  <c r="CO58" i="4"/>
  <c r="CO57" i="4"/>
  <c r="CO56" i="4"/>
  <c r="CO55" i="4"/>
  <c r="CO54" i="4"/>
  <c r="CO53" i="4"/>
  <c r="CO52" i="4"/>
  <c r="CO51" i="4"/>
  <c r="CO50" i="4"/>
  <c r="CO49" i="4"/>
  <c r="CO48" i="4"/>
  <c r="CO47" i="4"/>
  <c r="CO46" i="4"/>
  <c r="CO45" i="4"/>
  <c r="CO44" i="4"/>
  <c r="CO43" i="4"/>
  <c r="CO42" i="4"/>
  <c r="CO41" i="4"/>
  <c r="CO40" i="4"/>
  <c r="CO39" i="4"/>
  <c r="CO38" i="4"/>
  <c r="CO37" i="4"/>
  <c r="CO36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5" i="4"/>
  <c r="BI70" i="4"/>
  <c r="BI69" i="4"/>
  <c r="BI68" i="4"/>
  <c r="BI67" i="4"/>
  <c r="BI66" i="4"/>
  <c r="BI65" i="4"/>
  <c r="BI64" i="4"/>
  <c r="BI63" i="4"/>
  <c r="BI62" i="4"/>
  <c r="BI61" i="4"/>
  <c r="BI60" i="4"/>
  <c r="BI59" i="4"/>
  <c r="BI58" i="4"/>
  <c r="BI57" i="4"/>
  <c r="BI56" i="4"/>
  <c r="BI55" i="4"/>
  <c r="BI54" i="4"/>
  <c r="BI53" i="4"/>
  <c r="BI52" i="4"/>
  <c r="BI51" i="4"/>
  <c r="BI50" i="4"/>
  <c r="BI49" i="4"/>
  <c r="BI48" i="4"/>
  <c r="BI47" i="4"/>
  <c r="BI46" i="4"/>
  <c r="BI45" i="4"/>
  <c r="BI44" i="4"/>
  <c r="BI43" i="4"/>
  <c r="BI42" i="4"/>
  <c r="BI41" i="4"/>
  <c r="BI40" i="4"/>
  <c r="BI39" i="4"/>
  <c r="BI38" i="4"/>
  <c r="BI37" i="4"/>
  <c r="BI36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5" i="4"/>
  <c r="BE70" i="4"/>
  <c r="BE69" i="4"/>
  <c r="BE68" i="4"/>
  <c r="BE67" i="4"/>
  <c r="BE66" i="4"/>
  <c r="BE65" i="4"/>
  <c r="BE64" i="4"/>
  <c r="BE63" i="4"/>
  <c r="BE62" i="4"/>
  <c r="BE61" i="4"/>
  <c r="BE60" i="4"/>
  <c r="BE59" i="4"/>
  <c r="BE58" i="4"/>
  <c r="BE57" i="4"/>
  <c r="BE56" i="4"/>
  <c r="BE55" i="4"/>
  <c r="BE54" i="4"/>
  <c r="BE53" i="4"/>
  <c r="BE52" i="4"/>
  <c r="BE51" i="4"/>
  <c r="BE50" i="4"/>
  <c r="BE49" i="4"/>
  <c r="BE48" i="4"/>
  <c r="BE47" i="4"/>
  <c r="BE46" i="4"/>
  <c r="BE45" i="4"/>
  <c r="BE44" i="4"/>
  <c r="BE43" i="4"/>
  <c r="BE42" i="4"/>
  <c r="BE41" i="4"/>
  <c r="BE40" i="4"/>
  <c r="BE39" i="4"/>
  <c r="BE38" i="4"/>
  <c r="BE37" i="4"/>
  <c r="BE36" i="4"/>
  <c r="BE35" i="4"/>
  <c r="BE34" i="4"/>
  <c r="BE33" i="4"/>
  <c r="BE32" i="4"/>
  <c r="BE31" i="4"/>
  <c r="BE30" i="4"/>
  <c r="BE29" i="4"/>
  <c r="BE28" i="4"/>
  <c r="BE27" i="4"/>
  <c r="BE26" i="4"/>
  <c r="BE25" i="4"/>
  <c r="BE24" i="4"/>
  <c r="BE23" i="4"/>
  <c r="BE22" i="4"/>
  <c r="BE21" i="4"/>
  <c r="BE20" i="4"/>
  <c r="BE19" i="4"/>
  <c r="BE18" i="4"/>
  <c r="BE17" i="4"/>
  <c r="BE16" i="4"/>
  <c r="BE15" i="4"/>
  <c r="BE14" i="4"/>
  <c r="BE5" i="4"/>
  <c r="BA70" i="4"/>
  <c r="BA69" i="4"/>
  <c r="BA68" i="4"/>
  <c r="BA67" i="4"/>
  <c r="BA66" i="4"/>
  <c r="BA65" i="4"/>
  <c r="BA64" i="4"/>
  <c r="BA63" i="4"/>
  <c r="BA62" i="4"/>
  <c r="BA61" i="4"/>
  <c r="BA60" i="4"/>
  <c r="BA59" i="4"/>
  <c r="BA58" i="4"/>
  <c r="BA57" i="4"/>
  <c r="BA56" i="4"/>
  <c r="BA55" i="4"/>
  <c r="BA54" i="4"/>
  <c r="BA53" i="4"/>
  <c r="BA52" i="4"/>
  <c r="BA51" i="4"/>
  <c r="BA50" i="4"/>
  <c r="BA49" i="4"/>
  <c r="BA48" i="4"/>
  <c r="BA47" i="4"/>
  <c r="BA46" i="4"/>
  <c r="BA45" i="4"/>
  <c r="BA44" i="4"/>
  <c r="BA43" i="4"/>
  <c r="BA42" i="4"/>
  <c r="BA41" i="4"/>
  <c r="BA40" i="4"/>
  <c r="BA39" i="4"/>
  <c r="BA38" i="4"/>
  <c r="BA37" i="4"/>
  <c r="BA36" i="4"/>
  <c r="BA35" i="4"/>
  <c r="BA34" i="4"/>
  <c r="BA33" i="4"/>
  <c r="BA32" i="4"/>
  <c r="BA31" i="4"/>
  <c r="BA30" i="4"/>
  <c r="BA29" i="4"/>
  <c r="BA28" i="4"/>
  <c r="BA27" i="4"/>
  <c r="BA26" i="4"/>
  <c r="BA25" i="4"/>
  <c r="BA24" i="4"/>
  <c r="BA23" i="4"/>
  <c r="BA22" i="4"/>
  <c r="BA21" i="4"/>
  <c r="BA20" i="4"/>
  <c r="BA19" i="4"/>
  <c r="BA18" i="4"/>
  <c r="BA17" i="4"/>
  <c r="BA16" i="4"/>
  <c r="BA15" i="4"/>
  <c r="BA14" i="4"/>
  <c r="BA5" i="4"/>
  <c r="AS70" i="4"/>
  <c r="AS69" i="4"/>
  <c r="AS68" i="4"/>
  <c r="AS67" i="4"/>
  <c r="AS66" i="4"/>
  <c r="AS65" i="4"/>
  <c r="AS64" i="4"/>
  <c r="AS63" i="4"/>
  <c r="AS62" i="4"/>
  <c r="AS61" i="4"/>
  <c r="AS60" i="4"/>
  <c r="AS59" i="4"/>
  <c r="AS58" i="4"/>
  <c r="AS57" i="4"/>
  <c r="AS56" i="4"/>
  <c r="AS55" i="4"/>
  <c r="AS54" i="4"/>
  <c r="AS53" i="4"/>
  <c r="AS52" i="4"/>
  <c r="AS51" i="4"/>
  <c r="AS50" i="4"/>
  <c r="AS49" i="4"/>
  <c r="AS48" i="4"/>
  <c r="AS47" i="4"/>
  <c r="AS46" i="4"/>
  <c r="AS45" i="4"/>
  <c r="AS44" i="4"/>
  <c r="AS43" i="4"/>
  <c r="AS42" i="4"/>
  <c r="AS41" i="4"/>
  <c r="AS40" i="4"/>
  <c r="AS39" i="4"/>
  <c r="AS38" i="4"/>
  <c r="AS37" i="4"/>
  <c r="AS36" i="4"/>
  <c r="AS35" i="4"/>
  <c r="AS34" i="4"/>
  <c r="AS33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S13" i="4"/>
  <c r="AS5" i="4"/>
  <c r="AO70" i="4"/>
  <c r="AO69" i="4"/>
  <c r="AO68" i="4"/>
  <c r="AO67" i="4"/>
  <c r="AO66" i="4"/>
  <c r="AO65" i="4"/>
  <c r="AO64" i="4"/>
  <c r="AO63" i="4"/>
  <c r="AO62" i="4"/>
  <c r="AO61" i="4"/>
  <c r="AO60" i="4"/>
  <c r="AO59" i="4"/>
  <c r="AO58" i="4"/>
  <c r="AO57" i="4"/>
  <c r="AO56" i="4"/>
  <c r="AO55" i="4"/>
  <c r="AO54" i="4"/>
  <c r="AO53" i="4"/>
  <c r="AO52" i="4"/>
  <c r="AO51" i="4"/>
  <c r="AO50" i="4"/>
  <c r="AO49" i="4"/>
  <c r="AO48" i="4"/>
  <c r="AO47" i="4"/>
  <c r="AO46" i="4"/>
  <c r="AO45" i="4"/>
  <c r="AO44" i="4"/>
  <c r="AO43" i="4"/>
  <c r="AO42" i="4"/>
  <c r="AO41" i="4"/>
  <c r="AO40" i="4"/>
  <c r="AO39" i="4"/>
  <c r="AO38" i="4"/>
  <c r="AO37" i="4"/>
  <c r="AO36" i="4"/>
  <c r="AO35" i="4"/>
  <c r="AO34" i="4"/>
  <c r="AO33" i="4"/>
  <c r="AO32" i="4"/>
  <c r="AO31" i="4"/>
  <c r="AO30" i="4"/>
  <c r="AO29" i="4"/>
  <c r="AO28" i="4"/>
  <c r="AO27" i="4"/>
  <c r="AO26" i="4"/>
  <c r="AO25" i="4"/>
  <c r="AO24" i="4"/>
  <c r="AO23" i="4"/>
  <c r="AO22" i="4"/>
  <c r="AO21" i="4"/>
  <c r="AO20" i="4"/>
  <c r="AO19" i="4"/>
  <c r="AO18" i="4"/>
  <c r="AO17" i="4"/>
  <c r="AO16" i="4"/>
  <c r="AO15" i="4"/>
  <c r="AO14" i="4"/>
  <c r="AO13" i="4"/>
  <c r="AO5" i="4"/>
  <c r="AK69" i="4"/>
  <c r="AK68" i="4"/>
  <c r="AK67" i="4"/>
  <c r="AK66" i="4"/>
  <c r="AK65" i="4"/>
  <c r="AK64" i="4"/>
  <c r="AK63" i="4"/>
  <c r="AK62" i="4"/>
  <c r="AK61" i="4"/>
  <c r="AK60" i="4"/>
  <c r="AK59" i="4"/>
  <c r="AK58" i="4"/>
  <c r="AK57" i="4"/>
  <c r="AK56" i="4"/>
  <c r="AK55" i="4"/>
  <c r="AK54" i="4"/>
  <c r="AK53" i="4"/>
  <c r="AK52" i="4"/>
  <c r="AK51" i="4"/>
  <c r="AK50" i="4"/>
  <c r="AK49" i="4"/>
  <c r="AK48" i="4"/>
  <c r="AK47" i="4"/>
  <c r="AK46" i="4"/>
  <c r="AK45" i="4"/>
  <c r="AK44" i="4"/>
  <c r="AK43" i="4"/>
  <c r="AK42" i="4"/>
  <c r="AK41" i="4"/>
  <c r="AK40" i="4"/>
  <c r="AK39" i="4"/>
  <c r="AK38" i="4"/>
  <c r="AK37" i="4"/>
  <c r="AK36" i="4"/>
  <c r="AK35" i="4"/>
  <c r="AK34" i="4"/>
  <c r="AK33" i="4"/>
  <c r="AK32" i="4"/>
  <c r="AK31" i="4"/>
  <c r="AK30" i="4"/>
  <c r="AK29" i="4"/>
  <c r="AK28" i="4"/>
  <c r="AK27" i="4"/>
  <c r="AK26" i="4"/>
  <c r="AK25" i="4"/>
  <c r="AK24" i="4"/>
  <c r="AK23" i="4"/>
  <c r="AK22" i="4"/>
  <c r="AK21" i="4"/>
  <c r="AK20" i="4"/>
  <c r="AK19" i="4"/>
  <c r="AK18" i="4"/>
  <c r="AK17" i="4"/>
  <c r="AK16" i="4"/>
  <c r="AK15" i="4"/>
  <c r="AK14" i="4"/>
  <c r="AK5" i="4"/>
  <c r="AG70" i="4"/>
  <c r="AG69" i="4"/>
  <c r="AG68" i="4"/>
  <c r="AG67" i="4"/>
  <c r="AG66" i="4"/>
  <c r="AG65" i="4"/>
  <c r="AG64" i="4"/>
  <c r="AG63" i="4"/>
  <c r="AG62" i="4"/>
  <c r="AG61" i="4"/>
  <c r="AG60" i="4"/>
  <c r="AG59" i="4"/>
  <c r="AG58" i="4"/>
  <c r="AG57" i="4"/>
  <c r="AG56" i="4"/>
  <c r="AG55" i="4"/>
  <c r="AG54" i="4"/>
  <c r="AG53" i="4"/>
  <c r="AG52" i="4"/>
  <c r="AG51" i="4"/>
  <c r="AG50" i="4"/>
  <c r="AG49" i="4"/>
  <c r="AG48" i="4"/>
  <c r="AG47" i="4"/>
  <c r="AG46" i="4"/>
  <c r="AG45" i="4"/>
  <c r="AG44" i="4"/>
  <c r="AG43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5" i="4"/>
  <c r="AC70" i="4"/>
  <c r="AC69" i="4"/>
  <c r="AC68" i="4"/>
  <c r="AC67" i="4"/>
  <c r="AC66" i="4"/>
  <c r="AC65" i="4"/>
  <c r="AC64" i="4"/>
  <c r="AC63" i="4"/>
  <c r="AC62" i="4"/>
  <c r="AC61" i="4"/>
  <c r="AC60" i="4"/>
  <c r="AC59" i="4"/>
  <c r="AC58" i="4"/>
  <c r="AC57" i="4"/>
  <c r="AC56" i="4"/>
  <c r="AC55" i="4"/>
  <c r="AC54" i="4"/>
  <c r="AC53" i="4"/>
  <c r="AC52" i="4"/>
  <c r="AC51" i="4"/>
  <c r="AC50" i="4"/>
  <c r="AC49" i="4"/>
  <c r="AC48" i="4"/>
  <c r="AC47" i="4"/>
  <c r="AC46" i="4"/>
  <c r="AC45" i="4"/>
  <c r="AC44" i="4"/>
  <c r="AC43" i="4"/>
  <c r="AC42" i="4"/>
  <c r="AC41" i="4"/>
  <c r="AC40" i="4"/>
  <c r="AC39" i="4"/>
  <c r="AC38" i="4"/>
  <c r="AC37" i="4"/>
  <c r="AC36" i="4"/>
  <c r="AC35" i="4"/>
  <c r="AC34" i="4"/>
  <c r="AC33" i="4"/>
  <c r="AC32" i="4"/>
  <c r="AC31" i="4"/>
  <c r="AC30" i="4"/>
  <c r="AC29" i="4"/>
  <c r="AC28" i="4"/>
  <c r="AC27" i="4"/>
  <c r="AC26" i="4"/>
  <c r="AC25" i="4"/>
  <c r="AC24" i="4"/>
  <c r="AC23" i="4"/>
  <c r="AC22" i="4"/>
  <c r="AC21" i="4"/>
  <c r="AC20" i="4"/>
  <c r="AC19" i="4"/>
  <c r="AC18" i="4"/>
  <c r="AC17" i="4"/>
  <c r="AC16" i="4"/>
  <c r="AC15" i="4"/>
  <c r="AC14" i="4"/>
  <c r="AC13" i="4"/>
  <c r="AC5" i="4"/>
  <c r="Y70" i="4"/>
  <c r="Y69" i="4"/>
  <c r="Y68" i="4"/>
  <c r="Y67" i="4"/>
  <c r="Y66" i="4"/>
  <c r="Y65" i="4"/>
  <c r="Y64" i="4"/>
  <c r="Y63" i="4"/>
  <c r="Y62" i="4"/>
  <c r="Y61" i="4"/>
  <c r="Y60" i="4"/>
  <c r="Y59" i="4"/>
  <c r="Y58" i="4"/>
  <c r="Y57" i="4"/>
  <c r="Y56" i="4"/>
  <c r="Y55" i="4"/>
  <c r="Y54" i="4"/>
  <c r="Y53" i="4"/>
  <c r="Y52" i="4"/>
  <c r="Y51" i="4"/>
  <c r="Y50" i="4"/>
  <c r="Y49" i="4"/>
  <c r="Y48" i="4"/>
  <c r="Y47" i="4"/>
  <c r="Y46" i="4"/>
  <c r="Y45" i="4"/>
  <c r="Y44" i="4"/>
  <c r="Y43" i="4"/>
  <c r="Y42" i="4"/>
  <c r="Y41" i="4"/>
  <c r="Y40" i="4"/>
  <c r="Y39" i="4"/>
  <c r="Y38" i="4"/>
  <c r="Y37" i="4"/>
  <c r="Y36" i="4"/>
  <c r="Y35" i="4"/>
  <c r="Y34" i="4"/>
  <c r="Y33" i="4"/>
  <c r="Y32" i="4"/>
  <c r="Y31" i="4"/>
  <c r="Y30" i="4"/>
  <c r="Y29" i="4"/>
  <c r="Y28" i="4"/>
  <c r="Y27" i="4"/>
  <c r="Y26" i="4"/>
  <c r="Y25" i="4"/>
  <c r="Y24" i="4"/>
  <c r="Y23" i="4"/>
  <c r="Y22" i="4"/>
  <c r="Y21" i="4"/>
  <c r="Y20" i="4"/>
  <c r="Y19" i="4"/>
  <c r="Y18" i="4"/>
  <c r="Y17" i="4"/>
  <c r="Y16" i="4"/>
  <c r="Y15" i="4"/>
  <c r="Y14" i="4"/>
  <c r="Y5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5" i="4"/>
  <c r="AW46" i="4"/>
  <c r="AW47" i="4"/>
  <c r="AW48" i="4"/>
  <c r="AW49" i="4"/>
  <c r="AW50" i="4"/>
  <c r="AW51" i="4"/>
  <c r="AW52" i="4"/>
  <c r="AW53" i="4"/>
  <c r="AW54" i="4"/>
  <c r="AW55" i="4"/>
  <c r="AW56" i="4"/>
  <c r="AW57" i="4"/>
  <c r="AW58" i="4"/>
  <c r="AW59" i="4"/>
  <c r="AW60" i="4"/>
  <c r="AW61" i="4"/>
  <c r="AW62" i="4"/>
  <c r="AW63" i="4"/>
  <c r="AW64" i="4"/>
  <c r="AW65" i="4"/>
  <c r="AW66" i="4"/>
  <c r="AW67" i="4"/>
  <c r="AW68" i="4"/>
  <c r="AW69" i="4"/>
  <c r="AW70" i="4"/>
  <c r="B23" i="13" l="1"/>
  <c r="B24" i="13"/>
  <c r="C32" i="13"/>
  <c r="B42" i="13"/>
  <c r="B26" i="13"/>
  <c r="B28" i="13"/>
  <c r="D28" i="13" s="1"/>
  <c r="E28" i="13" s="1"/>
  <c r="F28" i="13" s="1"/>
  <c r="C30" i="13"/>
  <c r="C37" i="13"/>
  <c r="C31" i="13"/>
  <c r="B38" i="13"/>
  <c r="C21" i="13"/>
  <c r="C40" i="13"/>
  <c r="B35" i="13"/>
  <c r="C27" i="13"/>
  <c r="C29" i="13"/>
  <c r="B39" i="13"/>
  <c r="B36" i="13"/>
  <c r="B30" i="13"/>
  <c r="C34" i="13"/>
  <c r="C39" i="13"/>
  <c r="C33" i="13"/>
  <c r="B25" i="13"/>
  <c r="B41" i="13"/>
  <c r="B32" i="13"/>
  <c r="D32" i="13" s="1"/>
  <c r="E32" i="13" s="1"/>
  <c r="F32" i="13" s="1"/>
  <c r="C38" i="13"/>
  <c r="C35" i="13"/>
  <c r="B21" i="13"/>
  <c r="B40" i="13"/>
  <c r="B34" i="13"/>
  <c r="D34" i="13" s="1"/>
  <c r="E34" i="13" s="1"/>
  <c r="F34" i="13" s="1"/>
  <c r="C42" i="13"/>
  <c r="D42" i="13" s="1"/>
  <c r="E42" i="13" s="1"/>
  <c r="F42" i="13" s="1"/>
  <c r="C20" i="13"/>
  <c r="C36" i="13"/>
  <c r="B27" i="13"/>
  <c r="B29" i="13"/>
  <c r="C22" i="13"/>
  <c r="B37" i="13"/>
  <c r="B20" i="13"/>
  <c r="B31" i="13"/>
  <c r="D31" i="13" s="1"/>
  <c r="E31" i="13" s="1"/>
  <c r="F31" i="13" s="1"/>
  <c r="C19" i="13"/>
  <c r="C25" i="13"/>
  <c r="C24" i="13"/>
  <c r="C41" i="13"/>
  <c r="B19" i="13"/>
  <c r="B22" i="13"/>
  <c r="B33" i="13"/>
  <c r="D33" i="13" s="1"/>
  <c r="E33" i="13" s="1"/>
  <c r="F33" i="13" s="1"/>
  <c r="C23" i="13"/>
  <c r="C28" i="13"/>
  <c r="C26" i="13"/>
  <c r="DO65" i="10"/>
  <c r="DQ65" i="10" s="1"/>
  <c r="DS65" i="10" s="1"/>
  <c r="DO62" i="10"/>
  <c r="DQ62" i="10" s="1"/>
  <c r="DS62" i="10" s="1"/>
  <c r="DO63" i="10"/>
  <c r="DQ63" i="10" s="1"/>
  <c r="DS63" i="10" s="1"/>
  <c r="DO64" i="10"/>
  <c r="DQ64" i="10" s="1"/>
  <c r="DS64" i="10" s="1"/>
  <c r="DO29" i="10"/>
  <c r="DQ29" i="10" s="1"/>
  <c r="DS29" i="10" s="1"/>
  <c r="DO44" i="10"/>
  <c r="DQ44" i="10" s="1"/>
  <c r="DS44" i="10" s="1"/>
  <c r="D30" i="13"/>
  <c r="E30" i="13" s="1"/>
  <c r="F30" i="13" s="1"/>
  <c r="D29" i="13"/>
  <c r="E29" i="13" s="1"/>
  <c r="F29" i="13" s="1"/>
  <c r="DO25" i="10"/>
  <c r="DQ25" i="10" s="1"/>
  <c r="DS25" i="10" s="1"/>
  <c r="E18" i="13"/>
  <c r="F18" i="13" s="1"/>
  <c r="DO56" i="10"/>
  <c r="DQ56" i="10" s="1"/>
  <c r="DS56" i="10" s="1"/>
  <c r="DO66" i="10"/>
  <c r="DQ66" i="10" s="1"/>
  <c r="DS66" i="10" s="1"/>
  <c r="DO67" i="10"/>
  <c r="DQ67" i="10" s="1"/>
  <c r="DS67" i="10" s="1"/>
  <c r="DO69" i="10"/>
  <c r="DQ69" i="10" s="1"/>
  <c r="DS69" i="10" s="1"/>
  <c r="DO70" i="10"/>
  <c r="DQ70" i="10" s="1"/>
  <c r="DO68" i="10"/>
  <c r="DQ68" i="10" s="1"/>
  <c r="DS68" i="10" s="1"/>
  <c r="D19" i="13"/>
  <c r="E19" i="13" s="1"/>
  <c r="F19" i="13" s="1"/>
  <c r="D21" i="13"/>
  <c r="E21" i="13" s="1"/>
  <c r="F21" i="13" s="1"/>
  <c r="D20" i="13"/>
  <c r="E20" i="13" s="1"/>
  <c r="F20" i="13" s="1"/>
  <c r="D22" i="13"/>
  <c r="E22" i="13" s="1"/>
  <c r="F22" i="13" s="1"/>
  <c r="D40" i="13"/>
  <c r="E40" i="13" s="1"/>
  <c r="F40" i="13" s="1"/>
  <c r="D38" i="13"/>
  <c r="E38" i="13" s="1"/>
  <c r="F38" i="13" s="1"/>
  <c r="D36" i="13"/>
  <c r="E36" i="13" s="1"/>
  <c r="F36" i="13" s="1"/>
  <c r="D27" i="13"/>
  <c r="E27" i="13" s="1"/>
  <c r="F27" i="13" s="1"/>
  <c r="D25" i="13"/>
  <c r="E25" i="13" s="1"/>
  <c r="F25" i="13" s="1"/>
  <c r="D23" i="13"/>
  <c r="E23" i="13" s="1"/>
  <c r="F23" i="13" s="1"/>
  <c r="D41" i="13"/>
  <c r="E41" i="13" s="1"/>
  <c r="F41" i="13" s="1"/>
  <c r="D39" i="13"/>
  <c r="E39" i="13" s="1"/>
  <c r="F39" i="13" s="1"/>
  <c r="D37" i="13"/>
  <c r="E37" i="13" s="1"/>
  <c r="F37" i="13" s="1"/>
  <c r="D35" i="13"/>
  <c r="E35" i="13" s="1"/>
  <c r="F35" i="13" s="1"/>
  <c r="D26" i="13"/>
  <c r="E26" i="13" s="1"/>
  <c r="F26" i="13" s="1"/>
  <c r="D24" i="13"/>
  <c r="E24" i="13" s="1"/>
  <c r="F24" i="13" s="1"/>
  <c r="DO23" i="10"/>
  <c r="DQ23" i="10" s="1"/>
  <c r="DS23" i="10" s="1"/>
  <c r="DO11" i="12"/>
  <c r="DQ11" i="12" s="1"/>
  <c r="DS11" i="12" s="1"/>
  <c r="DO12" i="12"/>
  <c r="DQ12" i="12" s="1"/>
  <c r="DS12" i="12" s="1"/>
  <c r="DO13" i="12"/>
  <c r="DQ13" i="12" s="1"/>
  <c r="DS13" i="12" s="1"/>
  <c r="DO14" i="12"/>
  <c r="DQ14" i="12" s="1"/>
  <c r="DS14" i="12" s="1"/>
  <c r="DO15" i="12"/>
  <c r="DQ15" i="12" s="1"/>
  <c r="DS15" i="12" s="1"/>
  <c r="DO16" i="12"/>
  <c r="DQ16" i="12" s="1"/>
  <c r="DS16" i="12" s="1"/>
  <c r="DO17" i="12"/>
  <c r="DQ17" i="12" s="1"/>
  <c r="DS17" i="12" s="1"/>
  <c r="DO18" i="12"/>
  <c r="DQ18" i="12" s="1"/>
  <c r="DS18" i="12" s="1"/>
  <c r="DO19" i="12"/>
  <c r="DQ19" i="12" s="1"/>
  <c r="DS19" i="12" s="1"/>
  <c r="DO20" i="12"/>
  <c r="DQ20" i="12" s="1"/>
  <c r="DS20" i="12" s="1"/>
  <c r="DO21" i="12"/>
  <c r="DQ21" i="12" s="1"/>
  <c r="DS21" i="12" s="1"/>
  <c r="DO22" i="12"/>
  <c r="DQ22" i="12" s="1"/>
  <c r="DS22" i="12" s="1"/>
  <c r="DO23" i="12"/>
  <c r="DQ23" i="12" s="1"/>
  <c r="DS23" i="12" s="1"/>
  <c r="DO24" i="12"/>
  <c r="DQ24" i="12" s="1"/>
  <c r="DS24" i="12" s="1"/>
  <c r="DO25" i="12"/>
  <c r="DQ25" i="12" s="1"/>
  <c r="DS25" i="12" s="1"/>
  <c r="DO26" i="12"/>
  <c r="DQ26" i="12" s="1"/>
  <c r="DS26" i="12" s="1"/>
  <c r="DO27" i="12"/>
  <c r="DQ27" i="12" s="1"/>
  <c r="DS27" i="12" s="1"/>
  <c r="DO28" i="12"/>
  <c r="DQ28" i="12" s="1"/>
  <c r="DS28" i="12" s="1"/>
  <c r="DO29" i="12"/>
  <c r="DQ29" i="12" s="1"/>
  <c r="DS29" i="12" s="1"/>
  <c r="DO30" i="12"/>
  <c r="DQ30" i="12" s="1"/>
  <c r="DS30" i="12" s="1"/>
  <c r="DO31" i="12"/>
  <c r="DQ31" i="12" s="1"/>
  <c r="DS31" i="12" s="1"/>
  <c r="DO32" i="12"/>
  <c r="DQ32" i="12" s="1"/>
  <c r="DS32" i="12" s="1"/>
  <c r="DO33" i="12"/>
  <c r="DQ33" i="12" s="1"/>
  <c r="DS33" i="12" s="1"/>
  <c r="DO34" i="12"/>
  <c r="DQ34" i="12" s="1"/>
  <c r="DS34" i="12" s="1"/>
  <c r="DO35" i="12"/>
  <c r="DQ35" i="12" s="1"/>
  <c r="DS35" i="12" s="1"/>
  <c r="DO36" i="12"/>
  <c r="DQ36" i="12" s="1"/>
  <c r="DS36" i="12" s="1"/>
  <c r="DO37" i="12"/>
  <c r="DQ37" i="12" s="1"/>
  <c r="DS37" i="12" s="1"/>
  <c r="DO38" i="12"/>
  <c r="DQ38" i="12" s="1"/>
  <c r="DS38" i="12" s="1"/>
  <c r="DO39" i="12"/>
  <c r="DQ39" i="12" s="1"/>
  <c r="DS39" i="12" s="1"/>
  <c r="DO40" i="12"/>
  <c r="DQ40" i="12" s="1"/>
  <c r="DS40" i="12" s="1"/>
  <c r="DO41" i="12"/>
  <c r="DQ41" i="12" s="1"/>
  <c r="DS41" i="12" s="1"/>
  <c r="DO42" i="12"/>
  <c r="DQ42" i="12" s="1"/>
  <c r="DS42" i="12" s="1"/>
  <c r="DO43" i="12"/>
  <c r="DQ43" i="12" s="1"/>
  <c r="DS43" i="12" s="1"/>
  <c r="DO44" i="12"/>
  <c r="DQ44" i="12" s="1"/>
  <c r="DS44" i="12" s="1"/>
  <c r="DO45" i="12"/>
  <c r="DQ45" i="12" s="1"/>
  <c r="DS45" i="12" s="1"/>
  <c r="DO46" i="12"/>
  <c r="DQ46" i="12" s="1"/>
  <c r="DS46" i="12" s="1"/>
  <c r="DO47" i="12"/>
  <c r="DQ47" i="12" s="1"/>
  <c r="DS47" i="12" s="1"/>
  <c r="DO48" i="12"/>
  <c r="DQ48" i="12" s="1"/>
  <c r="DS48" i="12" s="1"/>
  <c r="DO49" i="12"/>
  <c r="DQ49" i="12" s="1"/>
  <c r="DS49" i="12" s="1"/>
  <c r="DO50" i="12"/>
  <c r="DQ50" i="12" s="1"/>
  <c r="DS50" i="12" s="1"/>
  <c r="DO51" i="12"/>
  <c r="DQ51" i="12" s="1"/>
  <c r="DS51" i="12" s="1"/>
  <c r="DO52" i="12"/>
  <c r="DO53" i="12"/>
  <c r="DQ53" i="12" s="1"/>
  <c r="DS53" i="12" s="1"/>
  <c r="DO54" i="12"/>
  <c r="DQ54" i="12" s="1"/>
  <c r="DS54" i="12" s="1"/>
  <c r="DO55" i="12"/>
  <c r="DQ55" i="12" s="1"/>
  <c r="DS55" i="12" s="1"/>
  <c r="DO56" i="12"/>
  <c r="DQ56" i="12" s="1"/>
  <c r="DS56" i="12" s="1"/>
  <c r="DO57" i="12"/>
  <c r="DQ57" i="12" s="1"/>
  <c r="DS57" i="12" s="1"/>
  <c r="DO58" i="12"/>
  <c r="DQ58" i="12" s="1"/>
  <c r="DS58" i="12" s="1"/>
  <c r="DO59" i="12"/>
  <c r="DQ59" i="12" s="1"/>
  <c r="DS59" i="12" s="1"/>
  <c r="DO60" i="12"/>
  <c r="DQ60" i="12" s="1"/>
  <c r="DS60" i="12" s="1"/>
  <c r="DO61" i="12"/>
  <c r="DQ61" i="12" s="1"/>
  <c r="DS61" i="12" s="1"/>
  <c r="DO62" i="12"/>
  <c r="DQ62" i="12" s="1"/>
  <c r="DS62" i="12" s="1"/>
  <c r="DO63" i="12"/>
  <c r="DQ63" i="12" s="1"/>
  <c r="DS63" i="12" s="1"/>
  <c r="DO64" i="12"/>
  <c r="DO65" i="12"/>
  <c r="DQ65" i="12" s="1"/>
  <c r="DS65" i="12" s="1"/>
  <c r="DO66" i="12"/>
  <c r="DQ66" i="12" s="1"/>
  <c r="DS66" i="12" s="1"/>
  <c r="DO67" i="12"/>
  <c r="DQ67" i="12" s="1"/>
  <c r="DS67" i="12" s="1"/>
  <c r="DO68" i="12"/>
  <c r="DQ68" i="12" s="1"/>
  <c r="DS68" i="12" s="1"/>
  <c r="DO69" i="12"/>
  <c r="DQ69" i="12" s="1"/>
  <c r="DS69" i="12" s="1"/>
  <c r="DO70" i="12"/>
  <c r="DQ70" i="12" s="1"/>
  <c r="DO46" i="4"/>
  <c r="DQ46" i="4" s="1"/>
  <c r="DS46" i="4" s="1"/>
  <c r="DO47" i="4"/>
  <c r="DQ47" i="4" s="1"/>
  <c r="DS47" i="4" s="1"/>
  <c r="DO48" i="4"/>
  <c r="DQ48" i="4" s="1"/>
  <c r="DS48" i="4" s="1"/>
  <c r="DO49" i="4"/>
  <c r="DO50" i="4"/>
  <c r="DQ50" i="4" s="1"/>
  <c r="DS50" i="4" s="1"/>
  <c r="DO51" i="4"/>
  <c r="DQ51" i="4" s="1"/>
  <c r="DS51" i="4" s="1"/>
  <c r="DO52" i="4"/>
  <c r="DQ52" i="4" s="1"/>
  <c r="DS52" i="4" s="1"/>
  <c r="DO53" i="4"/>
  <c r="DO54" i="4"/>
  <c r="DQ54" i="4" s="1"/>
  <c r="DS54" i="4" s="1"/>
  <c r="DO55" i="4"/>
  <c r="DQ55" i="4" s="1"/>
  <c r="DS55" i="4" s="1"/>
  <c r="DO56" i="4"/>
  <c r="DQ56" i="4" s="1"/>
  <c r="DS56" i="4" s="1"/>
  <c r="DO57" i="4"/>
  <c r="DO58" i="4"/>
  <c r="DQ58" i="4" s="1"/>
  <c r="DS58" i="4" s="1"/>
  <c r="DO59" i="4"/>
  <c r="DQ59" i="4" s="1"/>
  <c r="DS59" i="4" s="1"/>
  <c r="DO60" i="4"/>
  <c r="DQ60" i="4" s="1"/>
  <c r="DS60" i="4" s="1"/>
  <c r="DO61" i="4"/>
  <c r="DO62" i="4"/>
  <c r="DQ62" i="4" s="1"/>
  <c r="DS62" i="4" s="1"/>
  <c r="DO63" i="4"/>
  <c r="DQ63" i="4" s="1"/>
  <c r="DS63" i="4" s="1"/>
  <c r="DO64" i="4"/>
  <c r="DQ64" i="4" s="1"/>
  <c r="DS64" i="4" s="1"/>
  <c r="DO65" i="4"/>
  <c r="DO66" i="4"/>
  <c r="DQ66" i="4" s="1"/>
  <c r="DS66" i="4" s="1"/>
  <c r="DO67" i="4"/>
  <c r="DQ67" i="4" s="1"/>
  <c r="DS67" i="4" s="1"/>
  <c r="DO68" i="4"/>
  <c r="DQ68" i="4" s="1"/>
  <c r="DS68" i="4" s="1"/>
  <c r="DO69" i="4"/>
  <c r="DO70" i="4"/>
  <c r="DQ70" i="4" s="1"/>
  <c r="DS70" i="4" s="1"/>
  <c r="DO10" i="12"/>
  <c r="DQ10" i="12" s="1"/>
  <c r="DS10" i="12" s="1"/>
  <c r="DO9" i="12"/>
  <c r="DQ9" i="12" s="1"/>
  <c r="DS9" i="12" s="1"/>
  <c r="DO7" i="12"/>
  <c r="DQ7" i="12" s="1"/>
  <c r="DS7" i="12" s="1"/>
  <c r="DO8" i="12"/>
  <c r="DQ8" i="12" s="1"/>
  <c r="DS8" i="12" s="1"/>
  <c r="DO6" i="12"/>
  <c r="DQ6" i="12" s="1"/>
  <c r="DS6" i="12" s="1"/>
  <c r="DO10" i="10"/>
  <c r="DO11" i="10"/>
  <c r="DO12" i="10"/>
  <c r="DO13" i="10"/>
  <c r="DO14" i="10"/>
  <c r="DO15" i="10"/>
  <c r="DO16" i="10"/>
  <c r="DO17" i="10"/>
  <c r="DO19" i="10"/>
  <c r="DO9" i="10"/>
  <c r="DO6" i="10"/>
  <c r="DO7" i="10"/>
  <c r="DO8" i="10"/>
  <c r="DT50" i="12"/>
  <c r="DU20" i="12"/>
  <c r="DU21" i="12"/>
  <c r="DU24" i="12"/>
  <c r="DU27" i="12"/>
  <c r="DU28" i="12"/>
  <c r="DU29" i="12"/>
  <c r="DU31" i="12"/>
  <c r="DU32" i="12"/>
  <c r="DU33" i="12"/>
  <c r="DU35" i="12"/>
  <c r="DU36" i="12"/>
  <c r="DU37" i="12"/>
  <c r="DU39" i="12"/>
  <c r="DU40" i="12"/>
  <c r="DU41" i="12"/>
  <c r="DU43" i="12"/>
  <c r="DU45" i="12"/>
  <c r="DU47" i="12"/>
  <c r="DU48" i="12"/>
  <c r="DU49" i="12"/>
  <c r="DU51" i="12"/>
  <c r="DU52" i="12"/>
  <c r="DU53" i="12"/>
  <c r="DU55" i="12"/>
  <c r="DU57" i="12"/>
  <c r="DU59" i="12"/>
  <c r="DU60" i="12"/>
  <c r="DU61" i="12"/>
  <c r="DU63" i="12"/>
  <c r="DU64" i="12"/>
  <c r="DU65" i="12"/>
  <c r="DU68" i="12"/>
  <c r="DU23" i="12" l="1"/>
  <c r="DU44" i="12"/>
  <c r="DU25" i="12"/>
  <c r="DT63" i="12"/>
  <c r="DT47" i="12"/>
  <c r="DV47" i="12" s="1"/>
  <c r="F44" i="13"/>
  <c r="F43" i="13"/>
  <c r="DU67" i="12"/>
  <c r="DU56" i="12"/>
  <c r="DT46" i="12"/>
  <c r="E13" i="13"/>
  <c r="F10" i="13" s="1"/>
  <c r="B61" i="13" s="1"/>
  <c r="DT70" i="12"/>
  <c r="DT52" i="12"/>
  <c r="DT62" i="12"/>
  <c r="DT64" i="12"/>
  <c r="DV64" i="12" s="1"/>
  <c r="DT66" i="12"/>
  <c r="DT55" i="12"/>
  <c r="DV55" i="12" s="1"/>
  <c r="DU69" i="12"/>
  <c r="DV63" i="12"/>
  <c r="DT56" i="12"/>
  <c r="DT54" i="12"/>
  <c r="DT68" i="12"/>
  <c r="DV68" i="12" s="1"/>
  <c r="DT60" i="12"/>
  <c r="DV60" i="12" s="1"/>
  <c r="DT48" i="12"/>
  <c r="DV48" i="12" s="1"/>
  <c r="DT58" i="12"/>
  <c r="DU7" i="12"/>
  <c r="DQ7" i="10"/>
  <c r="DU8" i="12"/>
  <c r="DQ8" i="10"/>
  <c r="DU6" i="12"/>
  <c r="DQ6" i="10"/>
  <c r="DU19" i="12"/>
  <c r="DQ19" i="10"/>
  <c r="DS19" i="10" s="1"/>
  <c r="DU16" i="12"/>
  <c r="DQ16" i="10"/>
  <c r="DS16" i="10" s="1"/>
  <c r="DU14" i="12"/>
  <c r="DQ14" i="10"/>
  <c r="DS14" i="10" s="1"/>
  <c r="DU12" i="12"/>
  <c r="DQ12" i="10"/>
  <c r="DS12" i="10" s="1"/>
  <c r="DU10" i="12"/>
  <c r="DQ10" i="10"/>
  <c r="DU9" i="12"/>
  <c r="DQ9" i="10"/>
  <c r="DU17" i="12"/>
  <c r="DQ17" i="10"/>
  <c r="DS17" i="10" s="1"/>
  <c r="DU15" i="12"/>
  <c r="DQ15" i="10"/>
  <c r="DS15" i="10" s="1"/>
  <c r="DU13" i="12"/>
  <c r="DQ13" i="10"/>
  <c r="DU11" i="12"/>
  <c r="DQ11" i="10"/>
  <c r="DT69" i="12"/>
  <c r="DQ69" i="4"/>
  <c r="DS69" i="4" s="1"/>
  <c r="DT65" i="12"/>
  <c r="DV65" i="12" s="1"/>
  <c r="DQ65" i="4"/>
  <c r="DS65" i="4" s="1"/>
  <c r="DT61" i="12"/>
  <c r="DV61" i="12" s="1"/>
  <c r="DQ61" i="4"/>
  <c r="DS61" i="4" s="1"/>
  <c r="DT57" i="12"/>
  <c r="DV57" i="12" s="1"/>
  <c r="DQ57" i="4"/>
  <c r="DS57" i="4" s="1"/>
  <c r="DT53" i="12"/>
  <c r="DV53" i="12" s="1"/>
  <c r="DQ53" i="4"/>
  <c r="DS53" i="4" s="1"/>
  <c r="DT49" i="12"/>
  <c r="DQ49" i="4"/>
  <c r="DS49" i="4" s="1"/>
  <c r="DQ64" i="12"/>
  <c r="DS64" i="12" s="1"/>
  <c r="DV52" i="12"/>
  <c r="DQ52" i="12"/>
  <c r="DS52" i="12" s="1"/>
  <c r="DV49" i="12"/>
  <c r="DT67" i="12"/>
  <c r="DT59" i="12"/>
  <c r="DV59" i="12" s="1"/>
  <c r="DT51" i="12"/>
  <c r="DV51" i="12" s="1"/>
  <c r="DU66" i="12"/>
  <c r="DU58" i="12"/>
  <c r="DU50" i="12"/>
  <c r="DV50" i="12" s="1"/>
  <c r="DU42" i="12"/>
  <c r="DU34" i="12"/>
  <c r="DU26" i="12"/>
  <c r="DU18" i="12"/>
  <c r="DU70" i="12"/>
  <c r="DV70" i="12" s="1"/>
  <c r="DU62" i="12"/>
  <c r="DU54" i="12"/>
  <c r="DU46" i="12"/>
  <c r="DU38" i="12"/>
  <c r="DU30" i="12"/>
  <c r="DU22" i="12"/>
  <c r="DV67" i="12" l="1"/>
  <c r="DV56" i="12"/>
  <c r="F45" i="13"/>
  <c r="DV46" i="12"/>
  <c r="DV62" i="12"/>
  <c r="DV66" i="12"/>
  <c r="DV69" i="12"/>
  <c r="DS11" i="10"/>
  <c r="DV54" i="12"/>
  <c r="DV58" i="12"/>
  <c r="DS13" i="10"/>
  <c r="DS9" i="10"/>
  <c r="DS10" i="10"/>
  <c r="DS6" i="10"/>
  <c r="DS60" i="10"/>
  <c r="DS59" i="10"/>
  <c r="DS70" i="10"/>
  <c r="DS8" i="10"/>
  <c r="DS7" i="10"/>
  <c r="DS70" i="12"/>
  <c r="DO8" i="4" l="1"/>
  <c r="DQ8" i="4" s="1"/>
  <c r="DO9" i="4"/>
  <c r="DQ9" i="4" s="1"/>
  <c r="DO10" i="4"/>
  <c r="DQ10" i="4" s="1"/>
  <c r="DO11" i="4"/>
  <c r="DQ11" i="4" s="1"/>
  <c r="DO12" i="4"/>
  <c r="DQ12" i="4" s="1"/>
  <c r="AW13" i="4"/>
  <c r="DO13" i="4" s="1"/>
  <c r="DQ13" i="4" s="1"/>
  <c r="DS13" i="4" s="1"/>
  <c r="AW14" i="4"/>
  <c r="DO14" i="4" s="1"/>
  <c r="DQ14" i="4" s="1"/>
  <c r="DS14" i="4" s="1"/>
  <c r="AW15" i="4"/>
  <c r="DO15" i="4" s="1"/>
  <c r="DQ15" i="4" s="1"/>
  <c r="DS15" i="4" s="1"/>
  <c r="AW16" i="4"/>
  <c r="DO16" i="4" s="1"/>
  <c r="DQ16" i="4" s="1"/>
  <c r="DS16" i="4" s="1"/>
  <c r="AW17" i="4"/>
  <c r="DO17" i="4" s="1"/>
  <c r="DQ17" i="4" s="1"/>
  <c r="DS17" i="4" s="1"/>
  <c r="AW18" i="4"/>
  <c r="DO18" i="4" s="1"/>
  <c r="DQ18" i="4" s="1"/>
  <c r="DS18" i="4" s="1"/>
  <c r="AW19" i="4"/>
  <c r="DO19" i="4" s="1"/>
  <c r="DQ19" i="4" s="1"/>
  <c r="DS19" i="4" s="1"/>
  <c r="AW20" i="4"/>
  <c r="DO20" i="4" s="1"/>
  <c r="DQ20" i="4" s="1"/>
  <c r="DS20" i="4" s="1"/>
  <c r="AW21" i="4"/>
  <c r="DO21" i="4" s="1"/>
  <c r="DQ21" i="4" s="1"/>
  <c r="DS21" i="4" s="1"/>
  <c r="AW22" i="4"/>
  <c r="DO22" i="4" s="1"/>
  <c r="DQ22" i="4" s="1"/>
  <c r="DS22" i="4" s="1"/>
  <c r="AW23" i="4"/>
  <c r="DO23" i="4" s="1"/>
  <c r="DQ23" i="4" s="1"/>
  <c r="DS23" i="4" s="1"/>
  <c r="AW24" i="4"/>
  <c r="DO24" i="4" s="1"/>
  <c r="DQ24" i="4" s="1"/>
  <c r="DS24" i="4" s="1"/>
  <c r="AW25" i="4"/>
  <c r="DO25" i="4" s="1"/>
  <c r="DQ25" i="4" s="1"/>
  <c r="DS25" i="4" s="1"/>
  <c r="AW26" i="4"/>
  <c r="DO26" i="4" s="1"/>
  <c r="DQ26" i="4" s="1"/>
  <c r="DS26" i="4" s="1"/>
  <c r="AW27" i="4"/>
  <c r="DO27" i="4" s="1"/>
  <c r="DQ27" i="4" s="1"/>
  <c r="DS27" i="4" s="1"/>
  <c r="AW28" i="4"/>
  <c r="DO28" i="4" s="1"/>
  <c r="DQ28" i="4" s="1"/>
  <c r="DS28" i="4" s="1"/>
  <c r="AW29" i="4"/>
  <c r="DO29" i="4" s="1"/>
  <c r="DQ29" i="4" s="1"/>
  <c r="DS29" i="4" s="1"/>
  <c r="AW30" i="4"/>
  <c r="DO30" i="4" s="1"/>
  <c r="DQ30" i="4" s="1"/>
  <c r="DS30" i="4" s="1"/>
  <c r="AW31" i="4"/>
  <c r="DO31" i="4" s="1"/>
  <c r="DQ31" i="4" s="1"/>
  <c r="DS31" i="4" s="1"/>
  <c r="AW32" i="4"/>
  <c r="DO32" i="4" s="1"/>
  <c r="DQ32" i="4" s="1"/>
  <c r="DS32" i="4" s="1"/>
  <c r="AW33" i="4"/>
  <c r="DO33" i="4" s="1"/>
  <c r="DQ33" i="4" s="1"/>
  <c r="DS33" i="4" s="1"/>
  <c r="AW34" i="4"/>
  <c r="DO34" i="4" s="1"/>
  <c r="DQ34" i="4" s="1"/>
  <c r="DS34" i="4" s="1"/>
  <c r="AW35" i="4"/>
  <c r="DO35" i="4" s="1"/>
  <c r="DQ35" i="4" s="1"/>
  <c r="DS35" i="4" s="1"/>
  <c r="AW36" i="4"/>
  <c r="DO36" i="4" s="1"/>
  <c r="DQ36" i="4" s="1"/>
  <c r="DS36" i="4" s="1"/>
  <c r="AW37" i="4"/>
  <c r="DO37" i="4" s="1"/>
  <c r="DQ37" i="4" s="1"/>
  <c r="DS37" i="4" s="1"/>
  <c r="AW38" i="4"/>
  <c r="DO38" i="4" s="1"/>
  <c r="DQ38" i="4" s="1"/>
  <c r="DS38" i="4" s="1"/>
  <c r="AW39" i="4"/>
  <c r="DO39" i="4" s="1"/>
  <c r="DQ39" i="4" s="1"/>
  <c r="DS39" i="4" s="1"/>
  <c r="AW40" i="4"/>
  <c r="DO40" i="4" s="1"/>
  <c r="DQ40" i="4" s="1"/>
  <c r="DS40" i="4" s="1"/>
  <c r="AW41" i="4"/>
  <c r="DO41" i="4" s="1"/>
  <c r="DQ41" i="4" s="1"/>
  <c r="DS41" i="4" s="1"/>
  <c r="AW42" i="4"/>
  <c r="DO42" i="4" s="1"/>
  <c r="DQ42" i="4" s="1"/>
  <c r="DS42" i="4" s="1"/>
  <c r="AW43" i="4"/>
  <c r="DO43" i="4" s="1"/>
  <c r="DQ43" i="4" s="1"/>
  <c r="DS43" i="4" s="1"/>
  <c r="AW44" i="4"/>
  <c r="DO44" i="4" s="1"/>
  <c r="DQ44" i="4" s="1"/>
  <c r="DS44" i="4" s="1"/>
  <c r="AW45" i="4"/>
  <c r="DO45" i="4" s="1"/>
  <c r="DQ45" i="4" s="1"/>
  <c r="DS45" i="4" s="1"/>
  <c r="DO6" i="4"/>
  <c r="DQ6" i="4" s="1"/>
  <c r="DO7" i="4"/>
  <c r="DQ7" i="4" s="1"/>
  <c r="DS7" i="4" l="1"/>
  <c r="DS11" i="4"/>
  <c r="DS9" i="4"/>
  <c r="DS6" i="4"/>
  <c r="DS12" i="4"/>
  <c r="DS10" i="4"/>
  <c r="DS8" i="4"/>
  <c r="DT7" i="12"/>
  <c r="DV7" i="12" s="1"/>
  <c r="DT45" i="12"/>
  <c r="DV45" i="12" s="1"/>
  <c r="DT43" i="12"/>
  <c r="DV43" i="12" s="1"/>
  <c r="DT41" i="12"/>
  <c r="DV41" i="12" s="1"/>
  <c r="DT39" i="12"/>
  <c r="DV39" i="12" s="1"/>
  <c r="DT37" i="12"/>
  <c r="DV37" i="12" s="1"/>
  <c r="DT35" i="12"/>
  <c r="DV35" i="12" s="1"/>
  <c r="DT33" i="12"/>
  <c r="DV33" i="12" s="1"/>
  <c r="DT31" i="12"/>
  <c r="DV31" i="12" s="1"/>
  <c r="DT29" i="12"/>
  <c r="DV29" i="12" s="1"/>
  <c r="DT27" i="12"/>
  <c r="DV27" i="12" s="1"/>
  <c r="DT25" i="12"/>
  <c r="DV25" i="12" s="1"/>
  <c r="DT23" i="12"/>
  <c r="DV23" i="12" s="1"/>
  <c r="DT21" i="12"/>
  <c r="DV21" i="12" s="1"/>
  <c r="DT19" i="12"/>
  <c r="DV19" i="12" s="1"/>
  <c r="DT17" i="12"/>
  <c r="DV17" i="12" s="1"/>
  <c r="DT15" i="12"/>
  <c r="DV15" i="12" s="1"/>
  <c r="DT13" i="12"/>
  <c r="DV13" i="12" s="1"/>
  <c r="DT11" i="12"/>
  <c r="DV11" i="12" s="1"/>
  <c r="DT9" i="12"/>
  <c r="DV9" i="12" s="1"/>
  <c r="DT6" i="12"/>
  <c r="DV6" i="12" s="1"/>
  <c r="DT44" i="12"/>
  <c r="DV44" i="12" s="1"/>
  <c r="DT42" i="12"/>
  <c r="DV42" i="12" s="1"/>
  <c r="DT40" i="12"/>
  <c r="DV40" i="12" s="1"/>
  <c r="DT38" i="12"/>
  <c r="DV38" i="12" s="1"/>
  <c r="DT36" i="12"/>
  <c r="DV36" i="12" s="1"/>
  <c r="DT34" i="12"/>
  <c r="DV34" i="12" s="1"/>
  <c r="DT32" i="12"/>
  <c r="DV32" i="12" s="1"/>
  <c r="DT30" i="12"/>
  <c r="DV30" i="12" s="1"/>
  <c r="DT28" i="12"/>
  <c r="DV28" i="12" s="1"/>
  <c r="DT26" i="12"/>
  <c r="DV26" i="12" s="1"/>
  <c r="DT24" i="12"/>
  <c r="DV24" i="12" s="1"/>
  <c r="DT22" i="12"/>
  <c r="DV22" i="12" s="1"/>
  <c r="DT20" i="12"/>
  <c r="DV20" i="12" s="1"/>
  <c r="DT18" i="12"/>
  <c r="DV18" i="12" s="1"/>
  <c r="DT16" i="12"/>
  <c r="DV16" i="12" s="1"/>
  <c r="DT14" i="12"/>
  <c r="DV14" i="12" s="1"/>
  <c r="DT12" i="12"/>
  <c r="DV12" i="12" s="1"/>
  <c r="DT10" i="12"/>
  <c r="DV10" i="12" s="1"/>
  <c r="DT8" i="12"/>
  <c r="DV8" i="12" s="1"/>
  <c r="DW8" i="12" l="1"/>
  <c r="DW14" i="12"/>
  <c r="DW10" i="12"/>
  <c r="DW12" i="12"/>
  <c r="DW16" i="12"/>
  <c r="DW18" i="12"/>
  <c r="DW20" i="12"/>
  <c r="DW22" i="12"/>
  <c r="DW24" i="12"/>
  <c r="DW26" i="12"/>
  <c r="DW28" i="12"/>
  <c r="DW30" i="12"/>
  <c r="DW32" i="12"/>
  <c r="DW34" i="12"/>
  <c r="DW36" i="12"/>
  <c r="DW38" i="12"/>
  <c r="DW40" i="12"/>
  <c r="DW42" i="12"/>
  <c r="DW44" i="12"/>
  <c r="DW68" i="12"/>
  <c r="DW64" i="12"/>
  <c r="DW60" i="12"/>
  <c r="DW56" i="12"/>
  <c r="DW52" i="12"/>
  <c r="DW48" i="12"/>
  <c r="DW69" i="12"/>
  <c r="DW65" i="12"/>
  <c r="DW61" i="12"/>
  <c r="DW57" i="12"/>
  <c r="DW51" i="12"/>
  <c r="DW47" i="12"/>
  <c r="DW53" i="12"/>
  <c r="DW70" i="12"/>
  <c r="DW66" i="12"/>
  <c r="DW62" i="12"/>
  <c r="DW58" i="12"/>
  <c r="DW54" i="12"/>
  <c r="DW50" i="12"/>
  <c r="DW46" i="12"/>
  <c r="DW6" i="12"/>
  <c r="DW67" i="12"/>
  <c r="DW63" i="12"/>
  <c r="DW59" i="12"/>
  <c r="DW55" i="12"/>
  <c r="DW49" i="12"/>
  <c r="DW9" i="12"/>
  <c r="DW11" i="12"/>
  <c r="DW13" i="12"/>
  <c r="DW15" i="12"/>
  <c r="DW17" i="12"/>
  <c r="DW19" i="12"/>
  <c r="DW21" i="12"/>
  <c r="DW23" i="12"/>
  <c r="DW25" i="12"/>
  <c r="DW27" i="12"/>
  <c r="DW29" i="12"/>
  <c r="DW31" i="12"/>
  <c r="DW33" i="12"/>
  <c r="DW35" i="12"/>
  <c r="DW37" i="12"/>
  <c r="DW39" i="12"/>
  <c r="DW41" i="12"/>
  <c r="DW43" i="12"/>
  <c r="DW45" i="12"/>
  <c r="DW7" i="12"/>
</calcChain>
</file>

<file path=xl/sharedStrings.xml><?xml version="1.0" encoding="utf-8"?>
<sst xmlns="http://schemas.openxmlformats.org/spreadsheetml/2006/main" count="616" uniqueCount="183">
  <si>
    <t>CLASS</t>
  </si>
  <si>
    <t>ATTENDANCE</t>
  </si>
  <si>
    <t>No of Times Present</t>
  </si>
  <si>
    <t>Verbal Fluency</t>
  </si>
  <si>
    <t>Punctuality</t>
  </si>
  <si>
    <t>Neatness</t>
  </si>
  <si>
    <t>Politeness</t>
  </si>
  <si>
    <t>Honesty</t>
  </si>
  <si>
    <t>Attentiveness</t>
  </si>
  <si>
    <t>Total</t>
  </si>
  <si>
    <t>Exam</t>
  </si>
  <si>
    <t>Frequencies</t>
  </si>
  <si>
    <t>School Attendance</t>
  </si>
  <si>
    <t>No in Class</t>
  </si>
  <si>
    <t>Overall Grade</t>
  </si>
  <si>
    <t>Percentage</t>
  </si>
  <si>
    <t>Grade</t>
  </si>
  <si>
    <t>Mark obtainable</t>
  </si>
  <si>
    <t>PSYCHOMOTOR SKILLS</t>
  </si>
  <si>
    <t>LEVEL</t>
  </si>
  <si>
    <t>1st Term</t>
  </si>
  <si>
    <t>2nd Term</t>
  </si>
  <si>
    <t>3rd Term</t>
  </si>
  <si>
    <t>Remark</t>
  </si>
  <si>
    <t>AFFECTIVE AREAS</t>
  </si>
  <si>
    <t>No of Time Absent</t>
  </si>
  <si>
    <t>Hand writing</t>
  </si>
  <si>
    <t>Teacher's Name</t>
  </si>
  <si>
    <t>Phone No</t>
  </si>
  <si>
    <t>Session</t>
  </si>
  <si>
    <t>F</t>
  </si>
  <si>
    <t>D</t>
  </si>
  <si>
    <t>C</t>
  </si>
  <si>
    <t>B</t>
  </si>
  <si>
    <t xml:space="preserve">Number of subject </t>
  </si>
  <si>
    <t>MENU</t>
  </si>
  <si>
    <t>Exam.</t>
  </si>
  <si>
    <t>Student Name:</t>
  </si>
  <si>
    <t>Class Teacher Comment</t>
  </si>
  <si>
    <t>2022/2023</t>
  </si>
  <si>
    <t>SPECIMAN OF A CLASS TEACHER’S COMMENTS ON REPORTSHEET:</t>
  </si>
  <si>
    <t>SPECIMEN OF THE HEAD TEACHER’S COMMENTS ON THE REPORTSHEET</t>
  </si>
  <si>
    <t>Male</t>
  </si>
  <si>
    <t>Female</t>
  </si>
  <si>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She is very active but needs more home studies.</t>
    </r>
  </si>
  <si>
    <t>He is a bit active and vocal, always willing to learn</t>
  </si>
  <si>
    <t>Though, he is a slow learner but can always do better with home studies.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</si>
  <si>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She is very serious and always willing to learn.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</si>
  <si>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He is a bit quiet but always ready to know more.</t>
    </r>
  </si>
  <si>
    <r>
      <rPr>
        <sz val="7"/>
        <color theme="1"/>
        <rFont val="Times New Roman"/>
        <family val="1"/>
      </rPr>
      <t xml:space="preserve">  </t>
    </r>
    <r>
      <rPr>
        <sz val="11"/>
        <color theme="1"/>
        <rFont val="Calibri"/>
        <family val="2"/>
        <scheme val="minor"/>
      </rPr>
      <t>He has a very strong willing to learn, he should be encouraged.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</si>
  <si>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She is very active, vocal and always ready to learn.</t>
    </r>
  </si>
  <si>
    <t>Though he is a bit playful but more active when it comes to learning.</t>
  </si>
  <si>
    <t>He seems to be very active but sometimes lose focus.</t>
  </si>
  <si>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What an excellent performance! Please keep it up</t>
    </r>
  </si>
  <si>
    <t>A fair result here, you need to try more next term</t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</si>
  <si>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A fair result, you need to study more to do better.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</si>
  <si>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What a superb performance! Please keep it steady.</t>
    </r>
  </si>
  <si>
    <r>
      <rPr>
        <sz val="7"/>
        <color theme="1"/>
        <rFont val="Times New Roman"/>
        <family val="1"/>
      </rPr>
      <t> </t>
    </r>
    <r>
      <rPr>
        <sz val="11"/>
        <color theme="1"/>
        <rFont val="Calibri"/>
        <family val="2"/>
        <scheme val="minor"/>
      </rPr>
      <t>What an outstanding performance! Please never relent.</t>
    </r>
  </si>
  <si>
    <r>
      <rPr>
        <sz val="7"/>
        <color theme="1"/>
        <rFont val="Times New Roman"/>
        <family val="1"/>
      </rPr>
      <t xml:space="preserve"> </t>
    </r>
    <r>
      <rPr>
        <sz val="11"/>
        <color theme="1"/>
        <rFont val="Calibri"/>
        <family val="2"/>
        <scheme val="minor"/>
      </rPr>
      <t>A very good result, please try harder.</t>
    </r>
  </si>
  <si>
    <t>She an average learner, but can do better with parental supports.</t>
  </si>
  <si>
    <t>He is doing well but sometimes lacks concentrations.</t>
  </si>
  <si>
    <t>She needs a very serious home studies to do better.</t>
  </si>
  <si>
    <t>He needs to be more focus and study hard.</t>
  </si>
  <si>
    <t>1 - 5</t>
  </si>
  <si>
    <t>Term Ended</t>
  </si>
  <si>
    <t xml:space="preserve">Next Term Begins: </t>
  </si>
  <si>
    <t>Next Term Begins</t>
  </si>
  <si>
    <t>CA</t>
  </si>
  <si>
    <t>Class Position</t>
  </si>
  <si>
    <t>Total Score</t>
  </si>
  <si>
    <t>NAME</t>
  </si>
  <si>
    <t>SN</t>
  </si>
  <si>
    <t>Gender</t>
  </si>
  <si>
    <t xml:space="preserve">(Class) الفصل      </t>
  </si>
  <si>
    <t xml:space="preserve">(Session) العام الدراسي    </t>
  </si>
  <si>
    <t>Third Term Report</t>
  </si>
  <si>
    <t>Second Term Report</t>
  </si>
  <si>
    <t>First Term Report</t>
  </si>
  <si>
    <t>CUM. REPORT</t>
  </si>
  <si>
    <t>1st Term Total</t>
  </si>
  <si>
    <t>2nd Term Total</t>
  </si>
  <si>
    <r>
      <rPr>
        <b/>
        <sz val="16"/>
        <color theme="0"/>
        <rFont val="Calibri"/>
        <family val="2"/>
        <scheme val="minor"/>
      </rPr>
      <t>Cum. Total</t>
    </r>
    <r>
      <rPr>
        <b/>
        <sz val="20"/>
        <color theme="0"/>
        <rFont val="Calibri"/>
        <family val="2"/>
        <scheme val="minor"/>
      </rPr>
      <t xml:space="preserve"> </t>
    </r>
  </si>
  <si>
    <t>Attitude to School Work</t>
  </si>
  <si>
    <t>No of Times Sch. Opened</t>
  </si>
  <si>
    <t>Principal's signature</t>
  </si>
  <si>
    <t>Class Teaher's signature</t>
  </si>
  <si>
    <t>ENGLISH LANGUAGE</t>
  </si>
  <si>
    <t>MATHEMATICS</t>
  </si>
  <si>
    <t>CIVIC EDUCATION</t>
  </si>
  <si>
    <t>YORUBA LANGUAGE</t>
  </si>
  <si>
    <t>AGRICULTURAL SCIENCE</t>
  </si>
  <si>
    <t>Principal comment</t>
  </si>
  <si>
    <t>Games/Sport</t>
  </si>
  <si>
    <t>Handling Tools</t>
  </si>
  <si>
    <t>readily grasps new concepts and ideas.</t>
  </si>
  <si>
    <t>stays on task with little supervision.</t>
  </si>
  <si>
    <t xml:space="preserve">  He is a conscientious, hard-working student.</t>
  </si>
  <si>
    <t>She works independently.</t>
  </si>
  <si>
    <t>She is a self-motivated student.</t>
  </si>
  <si>
    <t>She consistently completes homework assignments.</t>
  </si>
  <si>
    <t>He puts forth their best effort into homework assignments.</t>
  </si>
  <si>
    <t>He exceeds expectations with the quality of their work.</t>
  </si>
  <si>
    <t>She generates neat and careful work.</t>
  </si>
  <si>
    <t>He checks work thoroughly before submitting it.</t>
  </si>
  <si>
    <t>She displays self-discipline.</t>
  </si>
  <si>
    <t>He avoids careless errors through attention to detail.</t>
  </si>
  <si>
    <t>He uses free minutes of class time constructively.</t>
  </si>
  <si>
    <t>She avoids careless errors through attention to detail.</t>
  </si>
  <si>
    <t xml:space="preserve">  He displays self-discipline.</t>
  </si>
  <si>
    <t>ABDULFATAI ISMAIL</t>
  </si>
  <si>
    <t>ABDULQUADRI ABDULMALIK</t>
  </si>
  <si>
    <t>ABDULSALAM YUSUF</t>
  </si>
  <si>
    <t>ABOLADE AFEEZ</t>
  </si>
  <si>
    <t>ADAMU BILIAMINU</t>
  </si>
  <si>
    <t>ADEBOWALE SUBHANALLAH</t>
  </si>
  <si>
    <t>AGBAJE HASSAN</t>
  </si>
  <si>
    <t>ALAKA AMEER</t>
  </si>
  <si>
    <t>ANIMASHAUN ALAMEEN</t>
  </si>
  <si>
    <t>BELLO ABDULMUJEEB</t>
  </si>
  <si>
    <t>FADARE ABDULMALIK</t>
  </si>
  <si>
    <t>PHYSICS</t>
  </si>
  <si>
    <t>CHEMISTRY</t>
  </si>
  <si>
    <t>GEOGRAPHY</t>
  </si>
  <si>
    <t>ICT/DATA PROCESSING</t>
  </si>
  <si>
    <t>QURAN</t>
  </si>
  <si>
    <t>ARABIC</t>
  </si>
  <si>
    <t>ECONOMICS</t>
  </si>
  <si>
    <t>BIOLOGY</t>
  </si>
  <si>
    <t>FURTHER MATHEMATICS</t>
  </si>
  <si>
    <t>-</t>
  </si>
  <si>
    <t>ABDULQUADRI HIKMAH .O.</t>
  </si>
  <si>
    <t>AJOSE AMINAH</t>
  </si>
  <si>
    <t>ALABI KAFILAT .O.</t>
  </si>
  <si>
    <t>HUSSEIN NEEMAH .E.</t>
  </si>
  <si>
    <t>IBRAHIM MARYAM .O.</t>
  </si>
  <si>
    <t>OWOYEMI ALIYAH .O.</t>
  </si>
  <si>
    <t>FADARE AMEERAH .A.</t>
  </si>
  <si>
    <t>mr Abdullah</t>
  </si>
  <si>
    <t>S.S.S 2</t>
  </si>
  <si>
    <t>09, Jan. 2022</t>
  </si>
  <si>
    <t>16, Dec., 2022</t>
  </si>
  <si>
    <t>Total Score:</t>
  </si>
  <si>
    <t>Number of Subjects:</t>
  </si>
  <si>
    <t>Average:</t>
  </si>
  <si>
    <t>Student</t>
  </si>
  <si>
    <t>AdmissionNumber</t>
  </si>
  <si>
    <t>RMC1</t>
  </si>
  <si>
    <t>RMC2</t>
  </si>
  <si>
    <t>RMC3</t>
  </si>
  <si>
    <t>RMC4</t>
  </si>
  <si>
    <t>RMC5</t>
  </si>
  <si>
    <t>RMC6</t>
  </si>
  <si>
    <t>RMC7</t>
  </si>
  <si>
    <t>RMC8</t>
  </si>
  <si>
    <t>RMC9</t>
  </si>
  <si>
    <t>RMC10</t>
  </si>
  <si>
    <t>RMC11</t>
  </si>
  <si>
    <t>RMC12</t>
  </si>
  <si>
    <t>RMC13</t>
  </si>
  <si>
    <t>RMC14</t>
  </si>
  <si>
    <t>RMC15</t>
  </si>
  <si>
    <t>RMC16</t>
  </si>
  <si>
    <t>RMC17</t>
  </si>
  <si>
    <t>RMC18</t>
  </si>
  <si>
    <t>RMC19</t>
  </si>
  <si>
    <t>RMC20</t>
  </si>
  <si>
    <t>Ader</t>
  </si>
  <si>
    <t>Admission Number:</t>
  </si>
  <si>
    <t>FALADE ASLAM</t>
  </si>
  <si>
    <t>ENGLISH LANGUAGEExam.</t>
  </si>
  <si>
    <t>GRADING KEYS</t>
  </si>
  <si>
    <t>0 - 39 = F (Fail)</t>
  </si>
  <si>
    <t>Department</t>
  </si>
  <si>
    <t>E</t>
  </si>
  <si>
    <t>A</t>
  </si>
  <si>
    <t>09044703245</t>
  </si>
  <si>
    <t>70 - 100 = A  (Excellent)</t>
  </si>
  <si>
    <t>60 - 69 = B  (V.Good)</t>
  </si>
  <si>
    <t>50 - 59 = C  (Good)</t>
  </si>
  <si>
    <t>45 - 49 = D  (Credit)</t>
  </si>
  <si>
    <t>40 - 44 = E (Pass)</t>
  </si>
  <si>
    <t>AUTOMATED REPORT COMPUTATION</t>
  </si>
  <si>
    <t>PASCALX COLLEGE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</si>
</sst>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0000000000"/>
    <numFmt numFmtId="167" formatCode="_(* #,##0_);_(* \(#,##0\);_(* &quot;-&quot;??_);_(@_)"/>
    <numFmt numFmtId="168" formatCode="0.0"/>
  </numFmts>
  <fonts count="6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9"/>
      <color indexed="8"/>
      <name val="Calibri"/>
      <family val="2"/>
      <scheme val="minor"/>
    </font>
    <font>
      <sz val="10"/>
      <color rgb="FF242729"/>
      <name val="Consolas"/>
      <family val="3"/>
    </font>
    <font>
      <b/>
      <sz val="9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2"/>
      <color theme="1"/>
      <name val="Georgia"/>
      <family val="1"/>
    </font>
    <font>
      <sz val="11"/>
      <color rgb="FFFFFF00"/>
      <name val="Calibri"/>
      <family val="2"/>
      <scheme val="minor"/>
    </font>
    <font>
      <b/>
      <sz val="12"/>
      <color rgb="FF7030A0"/>
      <name val="Calibri"/>
      <family val="2"/>
      <scheme val="minor"/>
    </font>
    <font>
      <sz val="38"/>
      <color rgb="FF7030A0"/>
      <name val="Bell MT"/>
      <family val="1"/>
    </font>
    <font>
      <sz val="11"/>
      <color rgb="FF7030A0"/>
      <name val="Calibri"/>
      <family val="2"/>
      <scheme val="minor"/>
    </font>
    <font>
      <b/>
      <sz val="36"/>
      <name val="Times New Roman"/>
      <family val="1"/>
    </font>
    <font>
      <sz val="12"/>
      <color theme="1"/>
      <name val="Bookman Old Style"/>
      <family val="1"/>
    </font>
    <font>
      <b/>
      <sz val="11"/>
      <color theme="9" tint="-0.499984740745262"/>
      <name val="Calibri"/>
      <family val="2"/>
      <scheme val="minor"/>
    </font>
    <font>
      <sz val="7"/>
      <color theme="1"/>
      <name val="Times New Roman"/>
      <family val="1"/>
    </font>
    <font>
      <sz val="11"/>
      <color theme="1"/>
      <name val="Calibri"/>
      <family val="1"/>
      <scheme val="minor"/>
    </font>
    <font>
      <sz val="10"/>
      <color theme="1"/>
      <name val="Trebuchet MS"/>
      <family val="2"/>
    </font>
    <font>
      <b/>
      <sz val="22"/>
      <color theme="1"/>
      <name val="Calibri"/>
      <family val="2"/>
      <scheme val="minor"/>
    </font>
    <font>
      <b/>
      <sz val="11"/>
      <color theme="1"/>
      <name val="Garamond"/>
      <family val="1"/>
    </font>
    <font>
      <sz val="12"/>
      <color theme="1"/>
      <name val="Garamond"/>
      <family val="1"/>
    </font>
    <font>
      <sz val="16"/>
      <color theme="9" tint="-0.499984740745262"/>
      <name val="Trebuchet MS"/>
      <family val="2"/>
    </font>
    <font>
      <b/>
      <sz val="8"/>
      <color theme="9" tint="-0.49998474074526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2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name val="Calibri"/>
      <family val="2"/>
      <scheme val="minor"/>
    </font>
    <font>
      <b/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Trebuchet MS"/>
      <family val="2"/>
    </font>
    <font>
      <b/>
      <sz val="11"/>
      <color theme="0"/>
      <name val="Trebuchet MS"/>
      <family val="2"/>
    </font>
    <font>
      <b/>
      <sz val="14"/>
      <color theme="0"/>
      <name val="Calibri"/>
      <family val="2"/>
      <scheme val="minor"/>
    </font>
    <font>
      <b/>
      <sz val="16"/>
      <color theme="0"/>
      <name val="OCR A Extended"/>
      <family val="3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Trebuchet MS"/>
      <family val="2"/>
    </font>
    <font>
      <sz val="11"/>
      <color theme="1"/>
      <name val="Trebuchet MS"/>
      <family val="2"/>
    </font>
    <font>
      <b/>
      <sz val="18"/>
      <color theme="0"/>
      <name val="Calibri"/>
      <family val="2"/>
      <scheme val="minor"/>
    </font>
    <font>
      <sz val="11"/>
      <color rgb="FF494949"/>
      <name val="Open Sans"/>
      <family val="2"/>
    </font>
    <font>
      <b/>
      <sz val="12"/>
      <color rgb="FF000000"/>
      <name val="Calibri"/>
      <family val="2"/>
    </font>
    <font>
      <sz val="14"/>
      <color rgb="FF000000"/>
      <name val="Calibri"/>
      <family val="2"/>
    </font>
    <font>
      <b/>
      <sz val="10"/>
      <color rgb="FF242729"/>
      <name val="Consolas"/>
      <family val="3"/>
    </font>
    <font>
      <sz val="11"/>
      <color theme="1"/>
      <name val="Calibri"/>
      <family val="2"/>
    </font>
    <font>
      <b/>
      <sz val="2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medium">
        <color theme="2" tint="-0.249977111117893"/>
      </left>
      <right style="thin">
        <color indexed="64"/>
      </right>
      <top style="medium">
        <color theme="2" tint="-0.249977111117893"/>
      </top>
      <bottom/>
      <diagonal/>
    </border>
    <border>
      <left/>
      <right style="thin">
        <color indexed="64"/>
      </right>
      <top style="medium">
        <color theme="2" tint="-0.249977111117893"/>
      </top>
      <bottom/>
      <diagonal/>
    </border>
    <border>
      <left style="thin">
        <color indexed="64"/>
      </left>
      <right style="medium">
        <color theme="2" tint="-0.249977111117893"/>
      </right>
      <top style="medium">
        <color theme="2" tint="-0.249977111117893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theme="2" tint="-0.249977111117893"/>
      </left>
      <right style="medium">
        <color theme="2" tint="-0.249977111117893"/>
      </right>
      <top/>
      <bottom/>
      <diagonal/>
    </border>
    <border>
      <left/>
      <right style="medium">
        <color theme="2" tint="-0.249977111117893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1" fillId="2" borderId="0" applyNumberFormat="0" applyBorder="0" applyAlignment="0" applyProtection="0"/>
    <xf numFmtId="0" fontId="12" fillId="3" borderId="0" applyNumberFormat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288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>
      <alignment horizontal="center" vertical="center" wrapText="1"/>
    </xf>
    <xf numFmtId="0" fontId="15" fillId="0" borderId="0" xfId="0" applyFont="1" applyProtection="1">
      <protection locked="0"/>
    </xf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16" xfId="0" applyFont="1" applyBorder="1" applyProtection="1">
      <protection hidden="1"/>
    </xf>
    <xf numFmtId="0" fontId="3" fillId="0" borderId="19" xfId="0" applyFont="1" applyBorder="1" applyProtection="1"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11" xfId="0" applyFont="1" applyBorder="1" applyProtection="1">
      <protection hidden="1"/>
    </xf>
    <xf numFmtId="0" fontId="4" fillId="0" borderId="35" xfId="0" applyFont="1" applyBorder="1" applyAlignment="1" applyProtection="1">
      <alignment horizontal="center"/>
      <protection hidden="1"/>
    </xf>
    <xf numFmtId="0" fontId="6" fillId="0" borderId="17" xfId="0" applyFont="1" applyBorder="1" applyAlignment="1" applyProtection="1">
      <alignment horizontal="center" vertical="center"/>
      <protection hidden="1"/>
    </xf>
    <xf numFmtId="0" fontId="0" fillId="0" borderId="36" xfId="0" applyBorder="1" applyProtection="1">
      <protection hidden="1"/>
    </xf>
    <xf numFmtId="0" fontId="9" fillId="0" borderId="1" xfId="0" applyFont="1" applyBorder="1" applyAlignment="1" applyProtection="1">
      <alignment horizontal="center" vertical="center"/>
      <protection hidden="1"/>
    </xf>
    <xf numFmtId="0" fontId="0" fillId="0" borderId="20" xfId="0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6" fillId="0" borderId="1" xfId="0" applyFont="1" applyBorder="1" applyProtection="1"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6" fillId="0" borderId="16" xfId="0" applyFont="1" applyBorder="1" applyAlignment="1" applyProtection="1">
      <alignment horizontal="center" vertical="center"/>
      <protection hidden="1"/>
    </xf>
    <xf numFmtId="0" fontId="3" fillId="0" borderId="19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 hidden="1"/>
    </xf>
    <xf numFmtId="0" fontId="2" fillId="0" borderId="0" xfId="0" applyFont="1" applyAlignment="1">
      <alignment horizontal="center"/>
    </xf>
    <xf numFmtId="0" fontId="13" fillId="0" borderId="0" xfId="0" applyFont="1" applyProtection="1">
      <protection locked="0"/>
    </xf>
    <xf numFmtId="0" fontId="2" fillId="0" borderId="15" xfId="0" applyFont="1" applyBorder="1" applyProtection="1">
      <protection locked="0"/>
    </xf>
    <xf numFmtId="0" fontId="10" fillId="6" borderId="1" xfId="0" applyFont="1" applyFill="1" applyBorder="1" applyProtection="1">
      <protection locked="0"/>
    </xf>
    <xf numFmtId="0" fontId="2" fillId="0" borderId="19" xfId="0" applyFont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20" xfId="0" applyFont="1" applyBorder="1" applyProtection="1">
      <protection locked="0"/>
    </xf>
    <xf numFmtId="0" fontId="2" fillId="6" borderId="1" xfId="0" applyFont="1" applyFill="1" applyBorder="1" applyProtection="1">
      <protection locked="0"/>
    </xf>
    <xf numFmtId="0" fontId="2" fillId="0" borderId="11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1" fillId="0" borderId="0" xfId="0" applyFont="1" applyAlignment="1" applyProtection="1">
      <alignment horizontal="right" vertical="center"/>
      <protection hidden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Alignment="1">
      <alignment horizontal="right" vertical="top" wrapText="1"/>
    </xf>
    <xf numFmtId="0" fontId="22" fillId="0" borderId="0" xfId="0" applyFont="1"/>
    <xf numFmtId="0" fontId="20" fillId="0" borderId="0" xfId="0" applyFont="1"/>
    <xf numFmtId="0" fontId="22" fillId="0" borderId="0" xfId="0" applyFont="1" applyAlignment="1">
      <alignment horizontal="center"/>
    </xf>
    <xf numFmtId="0" fontId="5" fillId="0" borderId="4" xfId="0" applyFont="1" applyBorder="1" applyAlignment="1" applyProtection="1">
      <alignment horizontal="center"/>
      <protection hidden="1"/>
    </xf>
    <xf numFmtId="0" fontId="4" fillId="0" borderId="21" xfId="0" applyFont="1" applyBorder="1" applyProtection="1">
      <protection hidden="1"/>
    </xf>
    <xf numFmtId="0" fontId="4" fillId="0" borderId="23" xfId="0" applyFont="1" applyBorder="1" applyProtection="1">
      <protection hidden="1"/>
    </xf>
    <xf numFmtId="0" fontId="0" fillId="0" borderId="0" xfId="0" applyAlignment="1">
      <alignment horizontal="left" vertical="center" indent="2"/>
    </xf>
    <xf numFmtId="0" fontId="2" fillId="10" borderId="0" xfId="0" applyFont="1" applyFill="1" applyAlignment="1">
      <alignment vertical="center"/>
    </xf>
    <xf numFmtId="0" fontId="2" fillId="12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6" fillId="0" borderId="6" xfId="0" applyFont="1" applyBorder="1" applyProtection="1">
      <protection hidden="1"/>
    </xf>
    <xf numFmtId="0" fontId="30" fillId="0" borderId="0" xfId="0" applyFont="1" applyAlignment="1">
      <alignment horizontal="left" vertical="center" indent="2"/>
    </xf>
    <xf numFmtId="49" fontId="3" fillId="0" borderId="0" xfId="0" applyNumberFormat="1" applyFont="1" applyProtection="1">
      <protection hidden="1"/>
    </xf>
    <xf numFmtId="49" fontId="5" fillId="0" borderId="47" xfId="0" applyNumberFormat="1" applyFont="1" applyBorder="1" applyAlignment="1" applyProtection="1">
      <alignment horizontal="center"/>
      <protection hidden="1"/>
    </xf>
    <xf numFmtId="49" fontId="0" fillId="0" borderId="0" xfId="0" applyNumberFormat="1" applyProtection="1">
      <protection hidden="1"/>
    </xf>
    <xf numFmtId="49" fontId="0" fillId="0" borderId="0" xfId="0" applyNumberFormat="1" applyAlignment="1" applyProtection="1">
      <alignment horizontal="center"/>
      <protection hidden="1"/>
    </xf>
    <xf numFmtId="0" fontId="2" fillId="0" borderId="36" xfId="0" applyFont="1" applyBorder="1" applyProtection="1">
      <protection hidden="1"/>
    </xf>
    <xf numFmtId="0" fontId="2" fillId="0" borderId="19" xfId="0" applyFont="1" applyBorder="1" applyAlignment="1" applyProtection="1">
      <alignment horizontal="center" vertical="center"/>
      <protection hidden="1"/>
    </xf>
    <xf numFmtId="0" fontId="19" fillId="13" borderId="1" xfId="0" applyFont="1" applyFill="1" applyBorder="1" applyAlignment="1" applyProtection="1">
      <alignment horizontal="center" vertical="center"/>
      <protection locked="0"/>
    </xf>
    <xf numFmtId="0" fontId="18" fillId="13" borderId="1" xfId="0" applyFont="1" applyFill="1" applyBorder="1" applyAlignment="1" applyProtection="1">
      <alignment horizontal="center" vertical="center"/>
      <protection locked="0"/>
    </xf>
    <xf numFmtId="0" fontId="5" fillId="13" borderId="37" xfId="0" applyFont="1" applyFill="1" applyBorder="1" applyAlignment="1">
      <alignment horizontal="center" vertical="center" wrapText="1"/>
    </xf>
    <xf numFmtId="0" fontId="18" fillId="13" borderId="2" xfId="0" applyFont="1" applyFill="1" applyBorder="1" applyAlignment="1" applyProtection="1">
      <alignment horizontal="center" vertical="center"/>
      <protection locked="0"/>
    </xf>
    <xf numFmtId="0" fontId="2" fillId="13" borderId="16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 wrapText="1"/>
    </xf>
    <xf numFmtId="0" fontId="6" fillId="0" borderId="14" xfId="0" applyFont="1" applyBorder="1" applyProtection="1">
      <protection hidden="1"/>
    </xf>
    <xf numFmtId="9" fontId="18" fillId="0" borderId="44" xfId="1" applyFont="1" applyFill="1" applyBorder="1" applyAlignment="1" applyProtection="1">
      <alignment horizontal="center" vertical="center"/>
      <protection hidden="1"/>
    </xf>
    <xf numFmtId="0" fontId="6" fillId="0" borderId="42" xfId="0" applyFont="1" applyBorder="1" applyAlignment="1" applyProtection="1">
      <alignment wrapText="1"/>
      <protection hidden="1"/>
    </xf>
    <xf numFmtId="0" fontId="17" fillId="0" borderId="0" xfId="0" applyFont="1" applyAlignment="1" applyProtection="1">
      <alignment vertical="center"/>
      <protection locked="0" hidden="1"/>
    </xf>
    <xf numFmtId="167" fontId="31" fillId="0" borderId="0" xfId="4" applyNumberFormat="1" applyFont="1" applyFill="1"/>
    <xf numFmtId="167" fontId="31" fillId="0" borderId="0" xfId="4" applyNumberFormat="1" applyFont="1" applyFill="1" applyProtection="1">
      <protection locked="0"/>
    </xf>
    <xf numFmtId="0" fontId="0" fillId="0" borderId="49" xfId="0" applyBorder="1"/>
    <xf numFmtId="0" fontId="0" fillId="0" borderId="49" xfId="0" applyBorder="1" applyAlignment="1">
      <alignment horizontal="center"/>
    </xf>
    <xf numFmtId="0" fontId="0" fillId="0" borderId="50" xfId="0" applyBorder="1"/>
    <xf numFmtId="167" fontId="34" fillId="0" borderId="0" xfId="4" applyNumberFormat="1" applyFont="1" applyFill="1" applyProtection="1">
      <protection locked="0"/>
    </xf>
    <xf numFmtId="0" fontId="6" fillId="8" borderId="2" xfId="2" applyFont="1" applyFill="1" applyBorder="1" applyAlignment="1" applyProtection="1">
      <alignment horizontal="center" vertical="center" wrapText="1"/>
    </xf>
    <xf numFmtId="0" fontId="6" fillId="8" borderId="7" xfId="2" applyFont="1" applyFill="1" applyBorder="1" applyAlignment="1" applyProtection="1">
      <alignment vertical="center" wrapText="1"/>
    </xf>
    <xf numFmtId="0" fontId="6" fillId="8" borderId="14" xfId="2" applyFont="1" applyFill="1" applyBorder="1" applyAlignment="1" applyProtection="1">
      <alignment vertical="center" wrapText="1"/>
    </xf>
    <xf numFmtId="0" fontId="6" fillId="8" borderId="46" xfId="2" applyFont="1" applyFill="1" applyBorder="1" applyAlignment="1" applyProtection="1">
      <alignment horizontal="center" vertical="center" wrapText="1"/>
    </xf>
    <xf numFmtId="0" fontId="6" fillId="8" borderId="7" xfId="2" applyFont="1" applyFill="1" applyBorder="1" applyAlignment="1" applyProtection="1">
      <alignment horizontal="center" vertical="center" wrapText="1"/>
    </xf>
    <xf numFmtId="0" fontId="28" fillId="7" borderId="49" xfId="0" applyFont="1" applyFill="1" applyBorder="1" applyAlignment="1">
      <alignment horizontal="center" vertical="center" wrapText="1"/>
    </xf>
    <xf numFmtId="0" fontId="35" fillId="7" borderId="49" xfId="0" applyFont="1" applyFill="1" applyBorder="1" applyAlignment="1" applyProtection="1">
      <alignment horizontal="center" vertical="center" wrapText="1"/>
      <protection locked="0"/>
    </xf>
    <xf numFmtId="0" fontId="28" fillId="0" borderId="0" xfId="0" applyFont="1"/>
    <xf numFmtId="0" fontId="36" fillId="7" borderId="0" xfId="0" applyFont="1" applyFill="1" applyAlignment="1">
      <alignment horizontal="center" vertical="center" wrapText="1"/>
    </xf>
    <xf numFmtId="0" fontId="37" fillId="7" borderId="0" xfId="0" applyFont="1" applyFill="1" applyProtection="1">
      <protection locked="0"/>
    </xf>
    <xf numFmtId="0" fontId="6" fillId="8" borderId="8" xfId="2" applyFont="1" applyFill="1" applyBorder="1" applyAlignment="1" applyProtection="1">
      <alignment vertical="center" wrapText="1"/>
    </xf>
    <xf numFmtId="0" fontId="6" fillId="0" borderId="0" xfId="0" applyFont="1"/>
    <xf numFmtId="0" fontId="6" fillId="8" borderId="34" xfId="2" applyFont="1" applyFill="1" applyBorder="1" applyAlignment="1" applyProtection="1">
      <alignment vertical="center" wrapText="1"/>
    </xf>
    <xf numFmtId="0" fontId="6" fillId="7" borderId="0" xfId="0" applyFont="1" applyFill="1"/>
    <xf numFmtId="0" fontId="33" fillId="11" borderId="1" xfId="0" applyFont="1" applyFill="1" applyBorder="1" applyAlignment="1" applyProtection="1">
      <alignment vertical="center"/>
      <protection locked="0"/>
    </xf>
    <xf numFmtId="0" fontId="33" fillId="11" borderId="1" xfId="0" applyFont="1" applyFill="1" applyBorder="1" applyProtection="1">
      <protection locked="0"/>
    </xf>
    <xf numFmtId="0" fontId="33" fillId="11" borderId="5" xfId="0" applyFont="1" applyFill="1" applyBorder="1" applyProtection="1">
      <protection locked="0"/>
    </xf>
    <xf numFmtId="0" fontId="33" fillId="11" borderId="1" xfId="0" applyFont="1" applyFill="1" applyBorder="1" applyAlignment="1" applyProtection="1">
      <alignment horizontal="center" vertical="center"/>
      <protection locked="0"/>
    </xf>
    <xf numFmtId="0" fontId="40" fillId="16" borderId="1" xfId="0" applyFont="1" applyFill="1" applyBorder="1" applyAlignment="1">
      <alignment vertical="center"/>
    </xf>
    <xf numFmtId="0" fontId="19" fillId="16" borderId="1" xfId="0" applyFont="1" applyFill="1" applyBorder="1" applyAlignment="1">
      <alignment vertical="center"/>
    </xf>
    <xf numFmtId="0" fontId="41" fillId="16" borderId="1" xfId="0" applyFont="1" applyFill="1" applyBorder="1" applyAlignment="1">
      <alignment vertical="center" wrapText="1"/>
    </xf>
    <xf numFmtId="0" fontId="42" fillId="15" borderId="19" xfId="0" applyFont="1" applyFill="1" applyBorder="1" applyAlignment="1">
      <alignment vertical="center"/>
    </xf>
    <xf numFmtId="0" fontId="42" fillId="15" borderId="39" xfId="0" applyFont="1" applyFill="1" applyBorder="1" applyAlignment="1">
      <alignment vertical="center"/>
    </xf>
    <xf numFmtId="0" fontId="42" fillId="15" borderId="1" xfId="0" applyFont="1" applyFill="1" applyBorder="1" applyAlignment="1">
      <alignment vertical="center"/>
    </xf>
    <xf numFmtId="0" fontId="42" fillId="15" borderId="14" xfId="0" applyFont="1" applyFill="1" applyBorder="1" applyAlignment="1">
      <alignment vertical="center"/>
    </xf>
    <xf numFmtId="0" fontId="43" fillId="11" borderId="33" xfId="0" applyFont="1" applyFill="1" applyBorder="1" applyAlignment="1">
      <alignment vertical="center" wrapText="1"/>
    </xf>
    <xf numFmtId="0" fontId="43" fillId="11" borderId="14" xfId="0" applyFont="1" applyFill="1" applyBorder="1" applyAlignment="1">
      <alignment vertical="center" wrapText="1"/>
    </xf>
    <xf numFmtId="0" fontId="44" fillId="11" borderId="34" xfId="0" applyFont="1" applyFill="1" applyBorder="1" applyAlignment="1">
      <alignment vertical="center" wrapText="1"/>
    </xf>
    <xf numFmtId="0" fontId="38" fillId="10" borderId="33" xfId="3" applyFont="1" applyFill="1" applyBorder="1" applyAlignment="1" applyProtection="1">
      <alignment vertical="center"/>
    </xf>
    <xf numFmtId="0" fontId="2" fillId="19" borderId="24" xfId="2" applyFont="1" applyFill="1" applyBorder="1" applyAlignment="1" applyProtection="1">
      <alignment horizontal="center"/>
    </xf>
    <xf numFmtId="0" fontId="38" fillId="5" borderId="33" xfId="2" applyFont="1" applyFill="1" applyBorder="1" applyAlignment="1" applyProtection="1">
      <alignment vertical="center"/>
    </xf>
    <xf numFmtId="0" fontId="38" fillId="18" borderId="33" xfId="2" applyFont="1" applyFill="1" applyBorder="1" applyAlignment="1" applyProtection="1">
      <alignment vertical="center"/>
    </xf>
    <xf numFmtId="2" fontId="2" fillId="3" borderId="24" xfId="3" applyNumberFormat="1" applyFont="1" applyBorder="1" applyAlignment="1" applyProtection="1">
      <alignment horizontal="center"/>
    </xf>
    <xf numFmtId="0" fontId="28" fillId="7" borderId="56" xfId="0" applyFont="1" applyFill="1" applyBorder="1"/>
    <xf numFmtId="0" fontId="37" fillId="0" borderId="57" xfId="0" applyFont="1" applyBorder="1"/>
    <xf numFmtId="0" fontId="0" fillId="0" borderId="57" xfId="0" applyBorder="1"/>
    <xf numFmtId="167" fontId="46" fillId="0" borderId="49" xfId="4" applyNumberFormat="1" applyFont="1" applyFill="1" applyBorder="1" applyAlignment="1" applyProtection="1">
      <alignment horizontal="center" vertical="center"/>
      <protection locked="0"/>
    </xf>
    <xf numFmtId="167" fontId="46" fillId="0" borderId="49" xfId="4" applyNumberFormat="1" applyFont="1" applyFill="1" applyBorder="1" applyAlignment="1" applyProtection="1">
      <alignment horizontal="center" vertical="center" wrapText="1"/>
    </xf>
    <xf numFmtId="167" fontId="46" fillId="0" borderId="49" xfId="4" applyNumberFormat="1" applyFont="1" applyFill="1" applyBorder="1" applyAlignment="1">
      <alignment horizontal="center" vertical="center"/>
    </xf>
    <xf numFmtId="167" fontId="46" fillId="0" borderId="49" xfId="4" applyNumberFormat="1" applyFont="1" applyFill="1" applyBorder="1" applyAlignment="1" applyProtection="1">
      <alignment horizontal="center" vertical="center"/>
    </xf>
    <xf numFmtId="0" fontId="47" fillId="20" borderId="51" xfId="2" applyFont="1" applyFill="1" applyBorder="1" applyAlignment="1" applyProtection="1">
      <alignment horizontal="center" vertical="center" wrapText="1"/>
    </xf>
    <xf numFmtId="0" fontId="47" fillId="20" borderId="52" xfId="2" applyFont="1" applyFill="1" applyBorder="1" applyAlignment="1" applyProtection="1">
      <alignment horizontal="center" vertical="center" wrapText="1"/>
    </xf>
    <xf numFmtId="0" fontId="47" fillId="20" borderId="53" xfId="2" applyFont="1" applyFill="1" applyBorder="1" applyAlignment="1" applyProtection="1">
      <alignment horizontal="center" vertical="center" wrapText="1"/>
    </xf>
    <xf numFmtId="167" fontId="47" fillId="20" borderId="53" xfId="4" applyNumberFormat="1" applyFont="1" applyFill="1" applyBorder="1" applyAlignment="1" applyProtection="1">
      <alignment horizontal="center" vertical="center" wrapText="1"/>
    </xf>
    <xf numFmtId="0" fontId="47" fillId="20" borderId="0" xfId="0" applyFont="1" applyFill="1" applyAlignment="1">
      <alignment horizontal="center" vertical="center"/>
    </xf>
    <xf numFmtId="0" fontId="47" fillId="20" borderId="14" xfId="2" applyFont="1" applyFill="1" applyBorder="1" applyAlignment="1" applyProtection="1">
      <alignment horizontal="center" vertical="center" wrapText="1"/>
    </xf>
    <xf numFmtId="0" fontId="47" fillId="20" borderId="54" xfId="2" applyFont="1" applyFill="1" applyBorder="1" applyAlignment="1" applyProtection="1">
      <alignment horizontal="center" vertical="center" wrapText="1"/>
    </xf>
    <xf numFmtId="0" fontId="47" fillId="20" borderId="55" xfId="2" applyFont="1" applyFill="1" applyBorder="1" applyAlignment="1" applyProtection="1">
      <alignment horizontal="center" vertical="center" wrapText="1"/>
    </xf>
    <xf numFmtId="0" fontId="47" fillId="20" borderId="34" xfId="2" applyFont="1" applyFill="1" applyBorder="1" applyAlignment="1" applyProtection="1">
      <alignment horizontal="center" vertical="center" wrapText="1"/>
    </xf>
    <xf numFmtId="0" fontId="47" fillId="20" borderId="33" xfId="2" applyFont="1" applyFill="1" applyBorder="1" applyAlignment="1" applyProtection="1">
      <alignment horizontal="center" vertical="center" wrapText="1"/>
    </xf>
    <xf numFmtId="0" fontId="38" fillId="5" borderId="33" xfId="2" applyFont="1" applyFill="1" applyBorder="1" applyAlignment="1" applyProtection="1">
      <alignment horizontal="center" vertical="center"/>
    </xf>
    <xf numFmtId="9" fontId="18" fillId="15" borderId="31" xfId="1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hidden="1"/>
    </xf>
    <xf numFmtId="0" fontId="8" fillId="0" borderId="17" xfId="0" applyFont="1" applyBorder="1" applyAlignment="1" applyProtection="1">
      <alignment horizontal="center"/>
      <protection hidden="1"/>
    </xf>
    <xf numFmtId="0" fontId="48" fillId="10" borderId="33" xfId="3" applyFont="1" applyFill="1" applyBorder="1" applyAlignment="1" applyProtection="1">
      <alignment horizontal="center" vertical="center"/>
    </xf>
    <xf numFmtId="0" fontId="4" fillId="0" borderId="40" xfId="0" applyFont="1" applyBorder="1" applyProtection="1">
      <protection hidden="1"/>
    </xf>
    <xf numFmtId="0" fontId="4" fillId="0" borderId="48" xfId="0" applyFont="1" applyBorder="1" applyProtection="1">
      <protection hidden="1"/>
    </xf>
    <xf numFmtId="0" fontId="4" fillId="0" borderId="73" xfId="0" applyFont="1" applyBorder="1" applyProtection="1">
      <protection hidden="1"/>
    </xf>
    <xf numFmtId="0" fontId="4" fillId="0" borderId="1" xfId="0" applyFont="1" applyBorder="1" applyProtection="1">
      <protection hidden="1"/>
    </xf>
    <xf numFmtId="0" fontId="5" fillId="0" borderId="16" xfId="0" applyFont="1" applyBorder="1" applyAlignment="1" applyProtection="1">
      <alignment vertical="center"/>
      <protection hidden="1"/>
    </xf>
    <xf numFmtId="0" fontId="5" fillId="0" borderId="11" xfId="0" applyFont="1" applyBorder="1" applyAlignment="1" applyProtection="1">
      <alignment vertical="center"/>
      <protection hidden="1"/>
    </xf>
    <xf numFmtId="0" fontId="33" fillId="11" borderId="1" xfId="0" applyFont="1" applyFill="1" applyBorder="1" applyAlignment="1" applyProtection="1">
      <alignment horizontal="center"/>
      <protection locked="0"/>
    </xf>
    <xf numFmtId="0" fontId="33" fillId="11" borderId="5" xfId="0" applyFont="1" applyFill="1" applyBorder="1" applyAlignment="1" applyProtection="1">
      <alignment vertical="center"/>
      <protection locked="0"/>
    </xf>
    <xf numFmtId="0" fontId="33" fillId="11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protection hidden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0" fillId="0" borderId="35" xfId="0" applyBorder="1"/>
    <xf numFmtId="0" fontId="0" fillId="0" borderId="37" xfId="0" applyBorder="1"/>
    <xf numFmtId="0" fontId="42" fillId="15" borderId="1" xfId="0" applyFont="1" applyFill="1" applyBorder="1" applyAlignment="1">
      <alignment horizontal="center" vertical="center"/>
    </xf>
    <xf numFmtId="0" fontId="42" fillId="15" borderId="14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13" fillId="0" borderId="0" xfId="0" applyFont="1" applyAlignment="1" applyProtection="1">
      <alignment vertical="center"/>
      <protection locked="0"/>
    </xf>
    <xf numFmtId="0" fontId="39" fillId="14" borderId="0" xfId="0" applyFont="1" applyFill="1" applyAlignment="1" applyProtection="1">
      <alignment horizontal="center"/>
      <protection locked="0"/>
    </xf>
    <xf numFmtId="0" fontId="54" fillId="18" borderId="33" xfId="2" applyFont="1" applyFill="1" applyBorder="1" applyAlignment="1" applyProtection="1">
      <alignment vertical="center"/>
    </xf>
    <xf numFmtId="0" fontId="45" fillId="18" borderId="33" xfId="2" applyFont="1" applyFill="1" applyBorder="1" applyAlignment="1" applyProtection="1">
      <alignment vertical="center"/>
    </xf>
    <xf numFmtId="0" fontId="3" fillId="0" borderId="74" xfId="0" applyFont="1" applyBorder="1" applyAlignment="1" applyProtection="1">
      <alignment horizontal="center" wrapText="1"/>
      <protection hidden="1"/>
    </xf>
    <xf numFmtId="0" fontId="0" fillId="0" borderId="63" xfId="0" applyBorder="1" applyAlignment="1">
      <alignment horizontal="center"/>
    </xf>
    <xf numFmtId="0" fontId="0" fillId="0" borderId="64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6" xfId="0" applyBorder="1" applyAlignment="1">
      <alignment horizontal="center"/>
    </xf>
    <xf numFmtId="0" fontId="55" fillId="0" borderId="0" xfId="0" applyFont="1" applyAlignment="1">
      <alignment horizontal="left" vertical="center" wrapText="1" indent="1"/>
    </xf>
    <xf numFmtId="0" fontId="39" fillId="7" borderId="0" xfId="0" applyFont="1" applyFill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9" fillId="7" borderId="0" xfId="0" applyFont="1" applyFill="1" applyProtection="1">
      <protection locked="0"/>
    </xf>
    <xf numFmtId="2" fontId="19" fillId="17" borderId="48" xfId="3" applyNumberFormat="1" applyFont="1" applyFill="1" applyBorder="1" applyAlignment="1" applyProtection="1">
      <alignment horizontal="center"/>
    </xf>
    <xf numFmtId="2" fontId="2" fillId="21" borderId="66" xfId="3" applyNumberFormat="1" applyFont="1" applyFill="1" applyBorder="1" applyAlignment="1" applyProtection="1">
      <alignment horizontal="center"/>
    </xf>
    <xf numFmtId="2" fontId="2" fillId="21" borderId="69" xfId="3" applyNumberFormat="1" applyFont="1" applyFill="1" applyBorder="1" applyAlignment="1" applyProtection="1">
      <alignment horizontal="center"/>
    </xf>
    <xf numFmtId="2" fontId="2" fillId="21" borderId="72" xfId="3" applyNumberFormat="1" applyFont="1" applyFill="1" applyBorder="1" applyAlignment="1" applyProtection="1">
      <alignment horizontal="center"/>
    </xf>
    <xf numFmtId="2" fontId="2" fillId="21" borderId="31" xfId="3" applyNumberFormat="1" applyFont="1" applyFill="1" applyBorder="1" applyAlignment="1" applyProtection="1">
      <alignment horizontal="center"/>
    </xf>
    <xf numFmtId="0" fontId="0" fillId="0" borderId="50" xfId="0" applyBorder="1" applyAlignment="1">
      <alignment horizontal="center"/>
    </xf>
    <xf numFmtId="0" fontId="2" fillId="0" borderId="6" xfId="0" applyFont="1" applyBorder="1" applyProtection="1">
      <protection locked="0"/>
    </xf>
    <xf numFmtId="0" fontId="35" fillId="7" borderId="75" xfId="0" applyFont="1" applyFill="1" applyBorder="1" applyAlignment="1" applyProtection="1">
      <alignment horizontal="center" vertical="center" wrapText="1"/>
      <protection locked="0"/>
    </xf>
    <xf numFmtId="0" fontId="0" fillId="0" borderId="76" xfId="0" applyBorder="1"/>
    <xf numFmtId="0" fontId="0" fillId="0" borderId="1" xfId="0" applyBorder="1"/>
    <xf numFmtId="0" fontId="5" fillId="0" borderId="78" xfId="0" applyFont="1" applyBorder="1" applyAlignment="1">
      <alignment horizontal="center" vertical="center" wrapText="1"/>
    </xf>
    <xf numFmtId="0" fontId="2" fillId="0" borderId="36" xfId="0" applyFont="1" applyBorder="1" applyAlignment="1">
      <alignment horizontal="center" vertical="center"/>
    </xf>
    <xf numFmtId="0" fontId="2" fillId="0" borderId="78" xfId="0" applyFont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77" xfId="0" applyFont="1" applyBorder="1" applyAlignment="1">
      <alignment horizontal="center" vertical="center"/>
    </xf>
    <xf numFmtId="0" fontId="0" fillId="0" borderId="75" xfId="0" applyBorder="1"/>
    <xf numFmtId="0" fontId="57" fillId="0" borderId="1" xfId="0" applyFont="1" applyBorder="1"/>
    <xf numFmtId="0" fontId="57" fillId="0" borderId="49" xfId="0" applyFont="1" applyBorder="1"/>
    <xf numFmtId="167" fontId="46" fillId="0" borderId="50" xfId="4" applyNumberFormat="1" applyFont="1" applyFill="1" applyBorder="1" applyAlignment="1" applyProtection="1">
      <alignment horizontal="center" vertical="center"/>
      <protection locked="0"/>
    </xf>
    <xf numFmtId="167" fontId="46" fillId="0" borderId="50" xfId="4" applyNumberFormat="1" applyFont="1" applyFill="1" applyBorder="1" applyAlignment="1" applyProtection="1">
      <alignment horizontal="center" vertical="center" wrapText="1"/>
    </xf>
    <xf numFmtId="167" fontId="46" fillId="0" borderId="79" xfId="4" applyNumberFormat="1" applyFont="1" applyFill="1" applyBorder="1" applyAlignment="1" applyProtection="1">
      <alignment horizontal="center" vertical="center"/>
      <protection locked="0"/>
    </xf>
    <xf numFmtId="167" fontId="46" fillId="0" borderId="76" xfId="4" applyNumberFormat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hidden="1"/>
    </xf>
    <xf numFmtId="9" fontId="0" fillId="0" borderId="0" xfId="1" applyFont="1" applyProtection="1">
      <protection hidden="1"/>
    </xf>
    <xf numFmtId="0" fontId="9" fillId="0" borderId="14" xfId="0" applyFont="1" applyBorder="1" applyAlignment="1" applyProtection="1">
      <alignment horizontal="center" vertical="center"/>
      <protection hidden="1"/>
    </xf>
    <xf numFmtId="0" fontId="2" fillId="0" borderId="23" xfId="0" applyFont="1" applyBorder="1" applyAlignment="1" applyProtection="1">
      <alignment horizontal="center"/>
      <protection hidden="1"/>
    </xf>
    <xf numFmtId="168" fontId="2" fillId="0" borderId="30" xfId="0" applyNumberFormat="1" applyFont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left" vertical="center"/>
      <protection hidden="1"/>
    </xf>
    <xf numFmtId="0" fontId="59" fillId="0" borderId="0" xfId="0" applyFont="1" applyProtection="1">
      <protection hidden="1"/>
    </xf>
    <xf numFmtId="22" fontId="0" fillId="0" borderId="0" xfId="0" applyNumberFormat="1" applyProtection="1">
      <protection hidden="1"/>
    </xf>
    <xf numFmtId="0" fontId="0" fillId="20" borderId="0" xfId="0" applyFill="1" applyProtection="1">
      <protection hidden="1"/>
    </xf>
    <xf numFmtId="0" fontId="58" fillId="0" borderId="0" xfId="0" applyFont="1" applyAlignment="1" applyProtection="1">
      <alignment horizontal="left" vertical="center"/>
      <protection hidden="1"/>
    </xf>
    <xf numFmtId="168" fontId="2" fillId="0" borderId="0" xfId="0" applyNumberFormat="1" applyFont="1" applyAlignment="1" applyProtection="1">
      <alignment horizontal="center"/>
      <protection hidden="1"/>
    </xf>
    <xf numFmtId="0" fontId="0" fillId="0" borderId="21" xfId="0" applyBorder="1" applyProtection="1">
      <protection hidden="1"/>
    </xf>
    <xf numFmtId="0" fontId="58" fillId="0" borderId="22" xfId="0" applyFont="1" applyBorder="1" applyAlignment="1" applyProtection="1">
      <alignment horizontal="left" vertical="center"/>
      <protection hidden="1"/>
    </xf>
    <xf numFmtId="168" fontId="2" fillId="0" borderId="23" xfId="0" applyNumberFormat="1" applyFont="1" applyBorder="1" applyAlignment="1" applyProtection="1">
      <alignment horizontal="center"/>
      <protection hidden="1"/>
    </xf>
    <xf numFmtId="0" fontId="0" fillId="0" borderId="77" xfId="0" applyBorder="1" applyProtection="1">
      <protection hidden="1"/>
    </xf>
    <xf numFmtId="0" fontId="22" fillId="5" borderId="26" xfId="0" applyFont="1" applyFill="1" applyBorder="1"/>
    <xf numFmtId="0" fontId="22" fillId="5" borderId="0" xfId="0" applyFont="1" applyFill="1"/>
    <xf numFmtId="0" fontId="59" fillId="0" borderId="0" xfId="0" applyFont="1" applyProtection="1">
      <protection locked="0"/>
    </xf>
    <xf numFmtId="49" fontId="33" fillId="11" borderId="1" xfId="0" applyNumberFormat="1" applyFont="1" applyFill="1" applyBorder="1" applyProtection="1">
      <protection locked="0"/>
    </xf>
    <xf numFmtId="0" fontId="33" fillId="11" borderId="1" xfId="0" quotePrefix="1" applyFont="1" applyFill="1" applyBorder="1" applyProtection="1">
      <protection locked="0"/>
    </xf>
    <xf numFmtId="0" fontId="24" fillId="4" borderId="2" xfId="0" applyFont="1" applyFill="1" applyBorder="1" applyAlignment="1">
      <alignment horizontal="center" vertical="center" wrapText="1"/>
    </xf>
    <xf numFmtId="0" fontId="25" fillId="4" borderId="26" xfId="0" applyFont="1" applyFill="1" applyBorder="1" applyAlignment="1">
      <alignment horizontal="center" vertical="center" wrapText="1"/>
    </xf>
    <xf numFmtId="0" fontId="25" fillId="4" borderId="27" xfId="0" applyFont="1" applyFill="1" applyBorder="1" applyAlignment="1">
      <alignment horizontal="center" vertical="center" wrapText="1"/>
    </xf>
    <xf numFmtId="0" fontId="25" fillId="4" borderId="32" xfId="0" applyFont="1" applyFill="1" applyBorder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5" fillId="4" borderId="45" xfId="0" applyFont="1" applyFill="1" applyBorder="1" applyAlignment="1">
      <alignment horizontal="center" vertical="center" wrapText="1"/>
    </xf>
    <xf numFmtId="0" fontId="25" fillId="4" borderId="9" xfId="0" applyFont="1" applyFill="1" applyBorder="1" applyAlignment="1">
      <alignment horizontal="center" vertical="center" wrapText="1"/>
    </xf>
    <xf numFmtId="0" fontId="25" fillId="4" borderId="29" xfId="0" applyFont="1" applyFill="1" applyBorder="1" applyAlignment="1">
      <alignment horizontal="center" vertical="center" wrapText="1"/>
    </xf>
    <xf numFmtId="0" fontId="25" fillId="4" borderId="30" xfId="0" applyFont="1" applyFill="1" applyBorder="1" applyAlignment="1">
      <alignment horizontal="center" vertical="center" wrapText="1"/>
    </xf>
    <xf numFmtId="0" fontId="23" fillId="0" borderId="26" xfId="0" applyFont="1" applyBorder="1" applyAlignment="1">
      <alignment horizontal="right" vertical="top" wrapText="1"/>
    </xf>
    <xf numFmtId="0" fontId="5" fillId="0" borderId="26" xfId="0" applyFont="1" applyBorder="1" applyAlignment="1">
      <alignment horizontal="right" vertical="top" wrapText="1"/>
    </xf>
    <xf numFmtId="0" fontId="16" fillId="0" borderId="0" xfId="0" applyFont="1" applyAlignment="1">
      <alignment horizontal="left" vertical="top" wrapText="1"/>
    </xf>
    <xf numFmtId="166" fontId="2" fillId="0" borderId="0" xfId="0" applyNumberFormat="1" applyFont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6" fillId="5" borderId="10" xfId="0" applyFont="1" applyFill="1" applyBorder="1" applyAlignment="1">
      <alignment horizontal="center" vertical="center"/>
    </xf>
    <xf numFmtId="0" fontId="15" fillId="0" borderId="0" xfId="0" applyFont="1" applyAlignment="1">
      <alignment horizontal="left" vertical="top" wrapText="1"/>
    </xf>
    <xf numFmtId="0" fontId="60" fillId="0" borderId="26" xfId="0" applyFont="1" applyBorder="1" applyAlignment="1">
      <alignment horizontal="center" vertical="top" wrapText="1"/>
    </xf>
    <xf numFmtId="0" fontId="13" fillId="9" borderId="0" xfId="0" applyFont="1" applyFill="1" applyAlignment="1" applyProtection="1">
      <alignment horizontal="center" vertical="center" wrapText="1"/>
      <protection locked="0"/>
    </xf>
    <xf numFmtId="0" fontId="13" fillId="9" borderId="29" xfId="0" applyFont="1" applyFill="1" applyBorder="1" applyAlignment="1" applyProtection="1">
      <alignment horizontal="center" vertical="center" wrapText="1"/>
      <protection locked="0"/>
    </xf>
    <xf numFmtId="164" fontId="13" fillId="9" borderId="0" xfId="5" applyFont="1" applyFill="1" applyBorder="1" applyAlignment="1" applyProtection="1">
      <alignment horizontal="center" vertical="center" wrapText="1"/>
      <protection locked="0"/>
    </xf>
    <xf numFmtId="164" fontId="13" fillId="9" borderId="29" xfId="5" applyFont="1" applyFill="1" applyBorder="1" applyAlignment="1" applyProtection="1">
      <alignment horizontal="center" vertical="center" wrapText="1"/>
      <protection locked="0"/>
    </xf>
    <xf numFmtId="22" fontId="32" fillId="0" borderId="32" xfId="0" applyNumberFormat="1" applyFont="1" applyBorder="1" applyAlignment="1" applyProtection="1">
      <alignment horizontal="center" vertical="center"/>
      <protection locked="0"/>
    </xf>
    <xf numFmtId="22" fontId="32" fillId="0" borderId="45" xfId="0" applyNumberFormat="1" applyFont="1" applyBorder="1" applyAlignment="1" applyProtection="1">
      <alignment horizontal="center" vertical="center"/>
      <protection locked="0"/>
    </xf>
    <xf numFmtId="22" fontId="32" fillId="0" borderId="9" xfId="0" applyNumberFormat="1" applyFont="1" applyBorder="1" applyAlignment="1" applyProtection="1">
      <alignment horizontal="center" vertical="center"/>
      <protection locked="0"/>
    </xf>
    <xf numFmtId="22" fontId="32" fillId="0" borderId="30" xfId="0" applyNumberFormat="1" applyFont="1" applyBorder="1" applyAlignment="1" applyProtection="1">
      <alignment horizontal="center" vertical="center"/>
      <protection locked="0"/>
    </xf>
    <xf numFmtId="0" fontId="39" fillId="14" borderId="0" xfId="0" applyFont="1" applyFill="1" applyAlignment="1" applyProtection="1">
      <alignment horizontal="center"/>
      <protection locked="0"/>
    </xf>
    <xf numFmtId="164" fontId="13" fillId="9" borderId="0" xfId="5" applyFont="1" applyFill="1" applyBorder="1" applyAlignment="1" applyProtection="1">
      <alignment horizontal="center" wrapText="1"/>
      <protection locked="0"/>
    </xf>
    <xf numFmtId="164" fontId="13" fillId="9" borderId="29" xfId="5" applyFont="1" applyFill="1" applyBorder="1" applyAlignment="1" applyProtection="1">
      <alignment horizontal="center" wrapText="1"/>
      <protection locked="0"/>
    </xf>
    <xf numFmtId="0" fontId="49" fillId="20" borderId="41" xfId="0" applyFont="1" applyFill="1" applyBorder="1" applyAlignment="1" applyProtection="1">
      <alignment horizontal="center" vertical="center"/>
      <protection locked="0"/>
    </xf>
    <xf numFmtId="0" fontId="49" fillId="20" borderId="58" xfId="0" applyFont="1" applyFill="1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53" fillId="0" borderId="0" xfId="0" applyFont="1" applyAlignment="1" applyProtection="1">
      <alignment horizontal="center"/>
      <protection hidden="1"/>
    </xf>
    <xf numFmtId="0" fontId="58" fillId="0" borderId="21" xfId="0" applyFont="1" applyBorder="1" applyAlignment="1" applyProtection="1">
      <alignment horizontal="left" vertical="center"/>
      <protection hidden="1"/>
    </xf>
    <xf numFmtId="0" fontId="58" fillId="0" borderId="22" xfId="0" applyFont="1" applyBorder="1" applyAlignment="1" applyProtection="1">
      <alignment horizontal="left" vertical="center"/>
      <protection hidden="1"/>
    </xf>
    <xf numFmtId="0" fontId="58" fillId="0" borderId="9" xfId="0" applyFont="1" applyBorder="1" applyAlignment="1" applyProtection="1">
      <alignment horizontal="left" vertical="center"/>
      <protection hidden="1"/>
    </xf>
    <xf numFmtId="0" fontId="58" fillId="0" borderId="29" xfId="0" applyFont="1" applyBorder="1" applyAlignment="1" applyProtection="1">
      <alignment horizontal="left" vertical="center"/>
      <protection hidden="1"/>
    </xf>
    <xf numFmtId="0" fontId="17" fillId="0" borderId="0" xfId="0" applyFont="1" applyAlignment="1" applyProtection="1">
      <alignment horizontal="left" vertical="center"/>
      <protection locked="0" hidden="1"/>
    </xf>
    <xf numFmtId="0" fontId="6" fillId="0" borderId="22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0" borderId="1" xfId="0" applyFont="1" applyBorder="1" applyAlignment="1" applyProtection="1">
      <alignment horizontal="center" vertical="center"/>
      <protection hidden="1"/>
    </xf>
    <xf numFmtId="0" fontId="2" fillId="0" borderId="18" xfId="0" applyFont="1" applyBorder="1" applyAlignment="1" applyProtection="1">
      <alignment horizontal="center" vertical="center"/>
      <protection hidden="1"/>
    </xf>
    <xf numFmtId="0" fontId="2" fillId="0" borderId="20" xfId="0" applyFont="1" applyBorder="1" applyAlignment="1" applyProtection="1">
      <alignment horizontal="center" vertical="center"/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0" fontId="5" fillId="0" borderId="27" xfId="0" applyFont="1" applyBorder="1" applyAlignment="1" applyProtection="1">
      <alignment horizontal="center" vertical="center"/>
      <protection hidden="1"/>
    </xf>
    <xf numFmtId="0" fontId="5" fillId="0" borderId="9" xfId="0" applyFont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2" fillId="0" borderId="11" xfId="0" applyFont="1" applyBorder="1" applyAlignment="1" applyProtection="1">
      <alignment horizontal="center" vertical="center"/>
      <protection hidden="1"/>
    </xf>
    <xf numFmtId="0" fontId="3" fillId="0" borderId="25" xfId="0" applyFont="1" applyBorder="1" applyAlignment="1" applyProtection="1">
      <alignment horizontal="center" vertical="center" wrapText="1"/>
      <protection hidden="1"/>
    </xf>
    <xf numFmtId="0" fontId="3" fillId="0" borderId="26" xfId="0" applyFont="1" applyBorder="1" applyAlignment="1" applyProtection="1">
      <alignment horizontal="center" vertical="center" wrapText="1"/>
      <protection hidden="1"/>
    </xf>
    <xf numFmtId="0" fontId="3" fillId="0" borderId="27" xfId="0" applyFont="1" applyBorder="1" applyAlignment="1" applyProtection="1">
      <alignment horizontal="center" vertical="center" wrapText="1"/>
      <protection hidden="1"/>
    </xf>
    <xf numFmtId="0" fontId="3" fillId="0" borderId="28" xfId="0" applyFont="1" applyBorder="1" applyAlignment="1" applyProtection="1">
      <alignment horizontal="center" vertical="center" wrapText="1"/>
      <protection hidden="1"/>
    </xf>
    <xf numFmtId="0" fontId="3" fillId="0" borderId="29" xfId="0" applyFont="1" applyBorder="1" applyAlignment="1" applyProtection="1">
      <alignment horizontal="center" vertical="center" wrapText="1"/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3" fillId="0" borderId="30" xfId="0" applyFont="1" applyBorder="1" applyAlignment="1" applyProtection="1">
      <alignment horizontal="center" vertical="center" wrapText="1"/>
      <protection hidden="1"/>
    </xf>
    <xf numFmtId="0" fontId="2" fillId="0" borderId="3" xfId="0" applyFont="1" applyBorder="1" applyAlignment="1" applyProtection="1">
      <alignment horizontal="center" vertical="center" wrapText="1"/>
      <protection hidden="1"/>
    </xf>
    <xf numFmtId="0" fontId="2" fillId="0" borderId="10" xfId="0" applyFont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27" fillId="0" borderId="0" xfId="0" applyFont="1" applyAlignment="1" applyProtection="1">
      <alignment horizontal="center"/>
      <protection hidden="1"/>
    </xf>
    <xf numFmtId="0" fontId="5" fillId="0" borderId="21" xfId="0" applyFont="1" applyBorder="1" applyAlignment="1" applyProtection="1">
      <alignment horizontal="center"/>
      <protection hidden="1"/>
    </xf>
    <xf numFmtId="0" fontId="5" fillId="0" borderId="22" xfId="0" applyFont="1" applyBorder="1" applyAlignment="1" applyProtection="1">
      <alignment horizontal="center"/>
      <protection hidden="1"/>
    </xf>
    <xf numFmtId="0" fontId="13" fillId="0" borderId="3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4" fillId="0" borderId="36" xfId="0" applyFont="1" applyBorder="1" applyAlignment="1" applyProtection="1">
      <alignment horizontal="center" vertical="center"/>
      <protection hidden="1"/>
    </xf>
    <xf numFmtId="0" fontId="33" fillId="11" borderId="44" xfId="0" applyFont="1" applyFill="1" applyBorder="1" applyAlignment="1" applyProtection="1">
      <alignment horizontal="center" vertical="center"/>
      <protection locked="0"/>
    </xf>
    <xf numFmtId="0" fontId="33" fillId="11" borderId="43" xfId="0" applyFont="1" applyFill="1" applyBorder="1" applyAlignment="1" applyProtection="1">
      <alignment horizontal="center" vertical="center"/>
      <protection locked="0"/>
    </xf>
    <xf numFmtId="0" fontId="33" fillId="11" borderId="41" xfId="0" applyFont="1" applyFill="1" applyBorder="1" applyAlignment="1" applyProtection="1">
      <alignment horizontal="center" vertical="center"/>
      <protection locked="0"/>
    </xf>
  </cellXfs>
  <cellStyles count="6">
    <cellStyle name="Bad" xfId="3" builtinId="27"/>
    <cellStyle name="Comma" xfId="4" builtinId="3"/>
    <cellStyle name="Currency" xfId="5" builtinId="4"/>
    <cellStyle name="Good" xfId="2" builtinId="26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969696"/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5" dropStyle="combo" dx="22" fmlaLink="$H$10" fmlaRange="'Student List'!$A$2:$A$500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fmlaLink="$H$7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SECOND TERM'!A1"/><Relationship Id="rId2" Type="http://schemas.openxmlformats.org/officeDocument/2006/relationships/hyperlink" Target="#'FIRST TERM'!A1"/><Relationship Id="rId1" Type="http://schemas.openxmlformats.org/officeDocument/2006/relationships/hyperlink" Target="#'REPORT PAGE'!A1"/><Relationship Id="rId6" Type="http://schemas.openxmlformats.org/officeDocument/2006/relationships/hyperlink" Target="#'Student List'!A1"/><Relationship Id="rId5" Type="http://schemas.openxmlformats.org/officeDocument/2006/relationships/hyperlink" Target="#Setup!A1"/><Relationship Id="rId4" Type="http://schemas.openxmlformats.org/officeDocument/2006/relationships/hyperlink" Target="#'THIRD TERM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ashboard!A1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18</xdr:row>
      <xdr:rowOff>85725</xdr:rowOff>
    </xdr:from>
    <xdr:to>
      <xdr:col>1</xdr:col>
      <xdr:colOff>1543050</xdr:colOff>
      <xdr:row>20</xdr:row>
      <xdr:rowOff>114301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64344" y="3979069"/>
          <a:ext cx="1495425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REPORT PAGE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47625</xdr:colOff>
      <xdr:row>9</xdr:row>
      <xdr:rowOff>166302</xdr:rowOff>
    </xdr:from>
    <xdr:to>
      <xdr:col>1</xdr:col>
      <xdr:colOff>1543050</xdr:colOff>
      <xdr:row>12</xdr:row>
      <xdr:rowOff>4378</xdr:rowOff>
    </xdr:to>
    <xdr:sp macro="" textlink="">
      <xdr:nvSpPr>
        <xdr:cNvPr id="8" name="Oval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64344" y="2333240"/>
          <a:ext cx="1495425" cy="409576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1st TERM</a:t>
          </a:r>
          <a:r>
            <a:rPr lang="en-US" sz="900" b="1" baseline="0">
              <a:latin typeface="Arial" pitchFamily="34" charset="0"/>
              <a:cs typeface="Arial" pitchFamily="34" charset="0"/>
            </a:rPr>
            <a:t> REPORTSHEET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47625</xdr:colOff>
      <xdr:row>12</xdr:row>
      <xdr:rowOff>142618</xdr:rowOff>
    </xdr:from>
    <xdr:to>
      <xdr:col>1</xdr:col>
      <xdr:colOff>1543050</xdr:colOff>
      <xdr:row>14</xdr:row>
      <xdr:rowOff>171194</xdr:rowOff>
    </xdr:to>
    <xdr:sp macro="" textlink="">
      <xdr:nvSpPr>
        <xdr:cNvPr id="9" name="Oval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64344" y="2881056"/>
          <a:ext cx="1495425" cy="409576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2nd TERM REPORTSHEET</a:t>
          </a:r>
        </a:p>
      </xdr:txBody>
    </xdr:sp>
    <xdr:clientData/>
  </xdr:twoCellAnchor>
  <xdr:twoCellAnchor>
    <xdr:from>
      <xdr:col>1</xdr:col>
      <xdr:colOff>47625</xdr:colOff>
      <xdr:row>15</xdr:row>
      <xdr:rowOff>118934</xdr:rowOff>
    </xdr:from>
    <xdr:to>
      <xdr:col>1</xdr:col>
      <xdr:colOff>1543050</xdr:colOff>
      <xdr:row>17</xdr:row>
      <xdr:rowOff>149891</xdr:rowOff>
    </xdr:to>
    <xdr:sp macro="" textlink="">
      <xdr:nvSpPr>
        <xdr:cNvPr id="10" name="Oval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64344" y="3428872"/>
          <a:ext cx="1495425" cy="411957"/>
        </a:xfrm>
        <a:prstGeom prst="ellipse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900" b="1">
              <a:latin typeface="Arial" pitchFamily="34" charset="0"/>
              <a:cs typeface="Arial" pitchFamily="34" charset="0"/>
            </a:rPr>
            <a:t>3rd TERM REPORTSHEET</a:t>
          </a:r>
        </a:p>
      </xdr:txBody>
    </xdr:sp>
    <xdr:clientData/>
  </xdr:twoCellAnchor>
  <xdr:twoCellAnchor>
    <xdr:from>
      <xdr:col>1</xdr:col>
      <xdr:colOff>95250</xdr:colOff>
      <xdr:row>6</xdr:row>
      <xdr:rowOff>194083</xdr:rowOff>
    </xdr:from>
    <xdr:to>
      <xdr:col>1</xdr:col>
      <xdr:colOff>1590675</xdr:colOff>
      <xdr:row>9</xdr:row>
      <xdr:rowOff>28062</xdr:rowOff>
    </xdr:to>
    <xdr:sp macro="" textlink="">
      <xdr:nvSpPr>
        <xdr:cNvPr id="6" name="Rectangle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5250" y="583277"/>
          <a:ext cx="1495425" cy="417769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SETUP</a:t>
          </a:r>
          <a:endParaRPr lang="en-US" sz="11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45244</xdr:colOff>
      <xdr:row>21</xdr:row>
      <xdr:rowOff>83344</xdr:rowOff>
    </xdr:from>
    <xdr:to>
      <xdr:col>1</xdr:col>
      <xdr:colOff>1540669</xdr:colOff>
      <xdr:row>24</xdr:row>
      <xdr:rowOff>64295</xdr:rowOff>
    </xdr:to>
    <xdr:sp macro="" textlink="">
      <xdr:nvSpPr>
        <xdr:cNvPr id="15" name="Rectangle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461963" y="4691063"/>
          <a:ext cx="1495425" cy="552451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STUDENT LIST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27214</xdr:rowOff>
    </xdr:from>
    <xdr:to>
      <xdr:col>1</xdr:col>
      <xdr:colOff>1578621</xdr:colOff>
      <xdr:row>3</xdr:row>
      <xdr:rowOff>165471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27214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27217</xdr:colOff>
      <xdr:row>0</xdr:row>
      <xdr:rowOff>40822</xdr:rowOff>
    </xdr:from>
    <xdr:to>
      <xdr:col>1</xdr:col>
      <xdr:colOff>1605838</xdr:colOff>
      <xdr:row>2</xdr:row>
      <xdr:rowOff>124651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7217" y="40822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27217</xdr:colOff>
      <xdr:row>0</xdr:row>
      <xdr:rowOff>0</xdr:rowOff>
    </xdr:from>
    <xdr:to>
      <xdr:col>1</xdr:col>
      <xdr:colOff>1605645</xdr:colOff>
      <xdr:row>3</xdr:row>
      <xdr:rowOff>137434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7217" y="0"/>
          <a:ext cx="1918607" cy="409577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85726</xdr:colOff>
      <xdr:row>0</xdr:row>
      <xdr:rowOff>104773</xdr:rowOff>
    </xdr:from>
    <xdr:to>
      <xdr:col>6</xdr:col>
      <xdr:colOff>9525</xdr:colOff>
      <xdr:row>5</xdr:row>
      <xdr:rowOff>104774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5726" y="104773"/>
          <a:ext cx="6410324" cy="952501"/>
        </a:xfrm>
        <a:prstGeom prst="rect">
          <a:avLst/>
        </a:prstGeom>
        <a:ln>
          <a:noFill/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 b="1">
              <a:solidFill>
                <a:schemeClr val="dk1"/>
              </a:solidFill>
              <a:effectLst/>
              <a:latin typeface="Modern No. 20" panose="02070704070505020303" pitchFamily="18" charset="0"/>
              <a:ea typeface="+mn-ea"/>
              <a:cs typeface="+mn-cs"/>
            </a:rPr>
            <a:t>      	</a:t>
          </a:r>
          <a:r>
            <a:rPr lang="en-US" sz="32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RAHMAH COLLEGE</a:t>
          </a:r>
        </a:p>
        <a:p>
          <a:pPr algn="ctr"/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	 MOTTO: MY LORD, INCREASE ME IN KNOWLEGDE</a:t>
          </a:r>
          <a:endParaRPr lang="en-US" sz="1100" b="1">
            <a:solidFill>
              <a:schemeClr val="tx1">
                <a:lumMod val="95000"/>
                <a:lumOff val="5000"/>
              </a:schemeClr>
            </a:solidFill>
            <a:effectLst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   	33, Kusoro Street, Off Olufunmilayo street, Papa Ashafa, Agege, Lagos.</a:t>
          </a:r>
          <a:b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sz="1100"/>
        </a:p>
      </xdr:txBody>
    </xdr:sp>
    <xdr:clientData/>
  </xdr:twoCellAnchor>
  <xdr:twoCellAnchor>
    <xdr:from>
      <xdr:col>8</xdr:col>
      <xdr:colOff>19050</xdr:colOff>
      <xdr:row>0</xdr:row>
      <xdr:rowOff>38100</xdr:rowOff>
    </xdr:from>
    <xdr:to>
      <xdr:col>13</xdr:col>
      <xdr:colOff>419100</xdr:colOff>
      <xdr:row>1</xdr:row>
      <xdr:rowOff>142875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7143750" y="38100"/>
          <a:ext cx="344805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57149</xdr:colOff>
      <xdr:row>0</xdr:row>
      <xdr:rowOff>100407</xdr:rowOff>
    </xdr:from>
    <xdr:to>
      <xdr:col>0</xdr:col>
      <xdr:colOff>1171574</xdr:colOff>
      <xdr:row>5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biLevel thresh="7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53" t="8053" r="4044" b="8401"/>
        <a:stretch/>
      </xdr:blipFill>
      <xdr:spPr>
        <a:xfrm>
          <a:off x="57149" y="100407"/>
          <a:ext cx="1114425" cy="956868"/>
        </a:xfrm>
        <a:prstGeom prst="rect">
          <a:avLst/>
        </a:prstGeom>
      </xdr:spPr>
    </xdr:pic>
    <xdr:clientData/>
  </xdr:twoCellAnchor>
  <xdr:twoCellAnchor editAs="oneCell">
    <xdr:from>
      <xdr:col>0</xdr:col>
      <xdr:colOff>866775</xdr:colOff>
      <xdr:row>49</xdr:row>
      <xdr:rowOff>57150</xdr:rowOff>
    </xdr:from>
    <xdr:to>
      <xdr:col>1</xdr:col>
      <xdr:colOff>345420</xdr:colOff>
      <xdr:row>55</xdr:row>
      <xdr:rowOff>6576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440812">
          <a:off x="866775" y="7019925"/>
          <a:ext cx="1444877" cy="114005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</xdr:colOff>
          <xdr:row>2</xdr:row>
          <xdr:rowOff>19050</xdr:rowOff>
        </xdr:from>
        <xdr:to>
          <xdr:col>10</xdr:col>
          <xdr:colOff>571500</xdr:colOff>
          <xdr:row>4</xdr:row>
          <xdr:rowOff>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19050</xdr:rowOff>
        </xdr:from>
        <xdr:to>
          <xdr:col>13</xdr:col>
          <xdr:colOff>431800</xdr:colOff>
          <xdr:row>4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REPORT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69850</xdr:colOff>
          <xdr:row>0</xdr:row>
          <xdr:rowOff>76200</xdr:rowOff>
        </xdr:from>
        <xdr:to>
          <xdr:col>9</xdr:col>
          <xdr:colOff>374650</xdr:colOff>
          <xdr:row>1</xdr:row>
          <xdr:rowOff>165100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0</xdr:row>
          <xdr:rowOff>76200</xdr:rowOff>
        </xdr:from>
        <xdr:to>
          <xdr:col>11</xdr:col>
          <xdr:colOff>342900</xdr:colOff>
          <xdr:row>1</xdr:row>
          <xdr:rowOff>165100</xdr:rowOff>
        </xdr:to>
        <xdr:sp macro="" textlink="">
          <xdr:nvSpPr>
            <xdr:cNvPr id="7172" name="Option 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5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12700</xdr:colOff>
          <xdr:row>0</xdr:row>
          <xdr:rowOff>76200</xdr:rowOff>
        </xdr:from>
        <xdr:to>
          <xdr:col>12</xdr:col>
          <xdr:colOff>927100</xdr:colOff>
          <xdr:row>1</xdr:row>
          <xdr:rowOff>165100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5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Term</a:t>
              </a:r>
            </a:p>
          </xdr:txBody>
        </xdr:sp>
        <xdr:clientData/>
      </xdr:twoCellAnchor>
    </mc:Choice>
    <mc:Fallback/>
  </mc:AlternateContent>
  <xdr:twoCellAnchor>
    <xdr:from>
      <xdr:col>13</xdr:col>
      <xdr:colOff>476250</xdr:colOff>
      <xdr:row>0</xdr:row>
      <xdr:rowOff>54429</xdr:rowOff>
    </xdr:from>
    <xdr:to>
      <xdr:col>16</xdr:col>
      <xdr:colOff>557893</xdr:colOff>
      <xdr:row>2</xdr:row>
      <xdr:rowOff>83005</xdr:rowOff>
    </xdr:to>
    <xdr:sp macro="" textlink="">
      <xdr:nvSpPr>
        <xdr:cNvPr id="13" name="Rectangl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253357" y="54429"/>
          <a:ext cx="1918607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0</xdr:row>
      <xdr:rowOff>19050</xdr:rowOff>
    </xdr:from>
    <xdr:to>
      <xdr:col>7</xdr:col>
      <xdr:colOff>118382</xdr:colOff>
      <xdr:row>2</xdr:row>
      <xdr:rowOff>47626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14825" y="19050"/>
          <a:ext cx="1918607" cy="409576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0</xdr:rowOff>
    </xdr:from>
    <xdr:to>
      <xdr:col>2</xdr:col>
      <xdr:colOff>480525</xdr:colOff>
      <xdr:row>2</xdr:row>
      <xdr:rowOff>19875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9525" y="0"/>
          <a:ext cx="1918800" cy="410400"/>
        </a:xfrm>
        <a:prstGeom prst="rect">
          <a:avLst/>
        </a:prstGeom>
        <a:solidFill>
          <a:schemeClr val="accent1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050" b="1">
              <a:latin typeface="Arial" pitchFamily="34" charset="0"/>
              <a:cs typeface="Arial" pitchFamily="34" charset="0"/>
            </a:rPr>
            <a:t>RETURN</a:t>
          </a:r>
          <a:r>
            <a:rPr lang="en-US" sz="1050" b="1" baseline="0">
              <a:latin typeface="Arial" pitchFamily="34" charset="0"/>
              <a:cs typeface="Arial" pitchFamily="34" charset="0"/>
            </a:rPr>
            <a:t> TO </a:t>
          </a:r>
          <a:r>
            <a:rPr lang="en-US" sz="1050" b="1">
              <a:latin typeface="Arial" pitchFamily="34" charset="0"/>
              <a:cs typeface="Arial" pitchFamily="34" charset="0"/>
            </a:rPr>
            <a:t>DASHBOARD</a:t>
          </a:r>
          <a:endParaRPr lang="en-US" sz="900" b="1"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B8DA00-FA3D-4573-96AC-36F70F8C590D}" name="Table1" displayName="Table1" ref="A1:D21" totalsRowShown="0">
  <autoFilter ref="A1:D21" xr:uid="{EEEF087F-0891-4D91-9A75-6A9AE608FE94}"/>
  <tableColumns count="4">
    <tableColumn id="1" xr3:uid="{F3BDF3FC-9A4F-4B82-9167-7B02A736439D}" name="Student"/>
    <tableColumn id="2" xr3:uid="{2ECBAD73-02AB-4954-8137-579918DE96E9}" name="AdmissionNumber"/>
    <tableColumn id="3" xr3:uid="{83CC295F-B545-471A-BBB7-DB6D03888246}" name="Gender"/>
    <tableColumn id="4" xr3:uid="{ED8A7638-8EFD-437E-85BE-B800CB4EAD8A}" name="Depart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/>
    <pageSetUpPr fitToPage="1"/>
  </sheetPr>
  <dimension ref="A2:I38"/>
  <sheetViews>
    <sheetView showGridLines="0" tabSelected="1" topLeftCell="A8" zoomScale="80" zoomScaleNormal="80" workbookViewId="0">
      <selection activeCell="D20" sqref="D20"/>
    </sheetView>
  </sheetViews>
  <sheetFormatPr defaultRowHeight="14.5"/>
  <cols>
    <col min="1" max="1" width="6.26953125" customWidth="1"/>
    <col min="2" max="2" width="25.7265625" customWidth="1"/>
    <col min="3" max="3" width="29.7265625" customWidth="1"/>
    <col min="4" max="4" width="17.54296875" bestFit="1" customWidth="1"/>
    <col min="5" max="5" width="20.1796875" customWidth="1"/>
    <col min="6" max="6" width="16.81640625" customWidth="1"/>
    <col min="7" max="7" width="25.81640625" customWidth="1"/>
    <col min="8" max="9" width="13.453125" customWidth="1"/>
    <col min="10" max="10" width="12.1796875" customWidth="1"/>
    <col min="11" max="11" width="16.81640625" customWidth="1"/>
    <col min="12" max="12" width="25.81640625" customWidth="1"/>
    <col min="13" max="14" width="13.453125" customWidth="1"/>
    <col min="15" max="15" width="12.1796875" customWidth="1"/>
    <col min="16" max="16" width="16.81640625" customWidth="1"/>
  </cols>
  <sheetData>
    <row r="2" spans="1:9" ht="4.5" customHeight="1"/>
    <row r="3" spans="1:9" ht="15" thickBot="1"/>
    <row r="4" spans="1:9" ht="58.5" customHeight="1">
      <c r="B4" s="229" t="s">
        <v>35</v>
      </c>
    </row>
    <row r="5" spans="1:9" ht="15" thickBot="1">
      <c r="B5" s="230"/>
    </row>
    <row r="6" spans="1:9" ht="15" thickBot="1">
      <c r="B6" s="44"/>
      <c r="D6" s="216" t="s">
        <v>181</v>
      </c>
      <c r="E6" s="217"/>
      <c r="F6" s="217"/>
      <c r="G6" s="217"/>
      <c r="H6" s="217"/>
      <c r="I6" s="218"/>
    </row>
    <row r="7" spans="1:9">
      <c r="A7" s="44"/>
      <c r="B7" s="211"/>
      <c r="C7" s="2"/>
      <c r="D7" s="219"/>
      <c r="E7" s="220"/>
      <c r="F7" s="220"/>
      <c r="G7" s="220"/>
      <c r="H7" s="220"/>
      <c r="I7" s="221"/>
    </row>
    <row r="8" spans="1:9" ht="15" customHeight="1">
      <c r="A8" s="44"/>
      <c r="B8" s="212"/>
      <c r="C8" s="2"/>
      <c r="D8" s="219"/>
      <c r="E8" s="220"/>
      <c r="F8" s="220"/>
      <c r="G8" s="220"/>
      <c r="H8" s="220"/>
      <c r="I8" s="221"/>
    </row>
    <row r="9" spans="1:9" ht="15" customHeight="1">
      <c r="A9" s="44"/>
      <c r="B9" s="212"/>
      <c r="C9" s="2"/>
      <c r="D9" s="219"/>
      <c r="E9" s="220"/>
      <c r="F9" s="220"/>
      <c r="G9" s="220"/>
      <c r="H9" s="220"/>
      <c r="I9" s="221"/>
    </row>
    <row r="10" spans="1:9" ht="15" customHeight="1">
      <c r="A10" s="44"/>
      <c r="B10" s="212"/>
      <c r="C10" s="2"/>
      <c r="D10" s="219"/>
      <c r="E10" s="220"/>
      <c r="F10" s="220"/>
      <c r="G10" s="220"/>
      <c r="H10" s="220"/>
      <c r="I10" s="221"/>
    </row>
    <row r="11" spans="1:9" ht="15" customHeight="1">
      <c r="A11" s="44"/>
      <c r="B11" s="212"/>
      <c r="C11" s="2"/>
      <c r="D11" s="219"/>
      <c r="E11" s="220"/>
      <c r="F11" s="220"/>
      <c r="G11" s="220"/>
      <c r="H11" s="220"/>
      <c r="I11" s="221"/>
    </row>
    <row r="12" spans="1:9" ht="15" customHeight="1">
      <c r="A12" s="44"/>
      <c r="B12" s="212"/>
      <c r="C12" s="2"/>
      <c r="D12" s="219"/>
      <c r="E12" s="220"/>
      <c r="F12" s="220"/>
      <c r="G12" s="220"/>
      <c r="H12" s="220"/>
      <c r="I12" s="221"/>
    </row>
    <row r="13" spans="1:9" ht="15" customHeight="1">
      <c r="A13" s="44"/>
      <c r="B13" s="212"/>
      <c r="C13" s="2"/>
      <c r="D13" s="219"/>
      <c r="E13" s="220"/>
      <c r="F13" s="220"/>
      <c r="G13" s="220"/>
      <c r="H13" s="220"/>
      <c r="I13" s="221"/>
    </row>
    <row r="14" spans="1:9" ht="15" customHeight="1">
      <c r="A14" s="44"/>
      <c r="B14" s="212"/>
      <c r="C14" s="2"/>
      <c r="D14" s="219"/>
      <c r="E14" s="220"/>
      <c r="F14" s="220"/>
      <c r="G14" s="220"/>
      <c r="H14" s="220"/>
      <c r="I14" s="221"/>
    </row>
    <row r="15" spans="1:9" ht="15" customHeight="1">
      <c r="A15" s="44"/>
      <c r="B15" s="212"/>
      <c r="C15" s="2"/>
      <c r="D15" s="219"/>
      <c r="E15" s="220"/>
      <c r="F15" s="220"/>
      <c r="G15" s="220"/>
      <c r="H15" s="220"/>
      <c r="I15" s="221"/>
    </row>
    <row r="16" spans="1:9" ht="15" customHeight="1">
      <c r="A16" s="44"/>
      <c r="B16" s="212"/>
      <c r="C16" s="2"/>
      <c r="D16" s="219"/>
      <c r="E16" s="220"/>
      <c r="F16" s="220"/>
      <c r="G16" s="220"/>
      <c r="H16" s="220"/>
      <c r="I16" s="221"/>
    </row>
    <row r="17" spans="1:9" ht="15" customHeight="1">
      <c r="A17" s="44"/>
      <c r="B17" s="212"/>
      <c r="C17" s="2"/>
      <c r="D17" s="219"/>
      <c r="E17" s="220"/>
      <c r="F17" s="220"/>
      <c r="G17" s="220"/>
      <c r="H17" s="220"/>
      <c r="I17" s="221"/>
    </row>
    <row r="18" spans="1:9" ht="15.75" customHeight="1" thickBot="1">
      <c r="A18" s="44"/>
      <c r="B18" s="212"/>
      <c r="C18" s="2"/>
      <c r="D18" s="222"/>
      <c r="E18" s="223"/>
      <c r="F18" s="223"/>
      <c r="G18" s="223"/>
      <c r="H18" s="223"/>
      <c r="I18" s="224"/>
    </row>
    <row r="19" spans="1:9" ht="26">
      <c r="A19" s="44"/>
      <c r="B19" s="212"/>
      <c r="C19" s="2"/>
      <c r="D19" s="232" t="s">
        <v>182</v>
      </c>
      <c r="E19" s="232"/>
      <c r="F19" s="42"/>
      <c r="G19" s="42"/>
      <c r="H19" s="225"/>
      <c r="I19" s="226"/>
    </row>
    <row r="20" spans="1:9" ht="15" customHeight="1">
      <c r="A20" s="44"/>
      <c r="B20" s="212"/>
      <c r="C20" s="2"/>
      <c r="D20" s="42"/>
      <c r="E20" s="42"/>
      <c r="F20" s="42"/>
      <c r="G20" s="42"/>
      <c r="H20" s="42"/>
    </row>
    <row r="21" spans="1:9" s="1" customFormat="1" ht="15" customHeight="1">
      <c r="A21" s="45"/>
      <c r="B21" s="212"/>
      <c r="C21" s="2"/>
      <c r="D21" s="42"/>
      <c r="E21" s="42"/>
      <c r="F21" s="42"/>
      <c r="G21" s="43"/>
      <c r="H21" s="42"/>
    </row>
    <row r="22" spans="1:9" s="2" customFormat="1" ht="15" customHeight="1">
      <c r="A22" s="46"/>
      <c r="B22" s="212"/>
      <c r="D22" s="41"/>
      <c r="E22" s="41"/>
      <c r="F22" s="41"/>
    </row>
    <row r="23" spans="1:9" ht="15" customHeight="1">
      <c r="B23" s="212"/>
      <c r="D23" s="41"/>
      <c r="E23" s="41"/>
      <c r="F23" s="41"/>
    </row>
    <row r="24" spans="1:9" ht="15" customHeight="1">
      <c r="B24" s="212"/>
      <c r="D24" s="41"/>
      <c r="E24" s="41"/>
      <c r="F24" s="41"/>
    </row>
    <row r="25" spans="1:9" ht="15" customHeight="1">
      <c r="B25" s="212"/>
      <c r="D25" s="231"/>
      <c r="E25" s="231"/>
      <c r="F25" s="231"/>
    </row>
    <row r="26" spans="1:9" ht="15" customHeight="1">
      <c r="D26" s="231"/>
      <c r="E26" s="231"/>
      <c r="F26" s="231"/>
    </row>
    <row r="27" spans="1:9" ht="15" customHeight="1">
      <c r="D27" s="231"/>
      <c r="E27" s="231"/>
      <c r="F27" s="231"/>
    </row>
    <row r="28" spans="1:9" ht="15" customHeight="1">
      <c r="D28" s="231"/>
      <c r="E28" s="231"/>
      <c r="F28" s="231"/>
    </row>
    <row r="29" spans="1:9" ht="15" customHeight="1">
      <c r="D29" s="231"/>
      <c r="E29" s="231"/>
      <c r="F29" s="231"/>
    </row>
    <row r="30" spans="1:9" ht="15" customHeight="1">
      <c r="D30" s="231"/>
      <c r="E30" s="231"/>
      <c r="F30" s="231"/>
    </row>
    <row r="31" spans="1:9" ht="15" customHeight="1">
      <c r="B31" s="29"/>
      <c r="D31" s="231"/>
      <c r="E31" s="231"/>
      <c r="F31" s="231"/>
    </row>
    <row r="32" spans="1:9" ht="15" customHeight="1">
      <c r="B32" s="228"/>
      <c r="D32" s="227"/>
      <c r="E32" s="227"/>
      <c r="F32" s="227"/>
    </row>
    <row r="33" spans="2:6" ht="15" customHeight="1">
      <c r="B33" s="228"/>
      <c r="D33" s="227"/>
      <c r="E33" s="227"/>
      <c r="F33" s="227"/>
    </row>
    <row r="34" spans="2:6" ht="15" customHeight="1">
      <c r="B34" s="228"/>
      <c r="D34" s="227"/>
      <c r="E34" s="227"/>
      <c r="F34" s="227"/>
    </row>
    <row r="35" spans="2:6" ht="15" customHeight="1">
      <c r="D35" s="227"/>
      <c r="E35" s="227"/>
      <c r="F35" s="227"/>
    </row>
    <row r="36" spans="2:6" ht="15" customHeight="1">
      <c r="D36" s="227"/>
      <c r="E36" s="227"/>
      <c r="F36" s="227"/>
    </row>
    <row r="37" spans="2:6">
      <c r="D37" s="227"/>
      <c r="E37" s="227"/>
      <c r="F37" s="227"/>
    </row>
    <row r="38" spans="2:6">
      <c r="D38" s="227"/>
      <c r="E38" s="227"/>
      <c r="F38" s="227"/>
    </row>
  </sheetData>
  <sheetProtection password="D9FE"/>
  <mergeCells count="8">
    <mergeCell ref="D6:I18"/>
    <mergeCell ref="H19:I19"/>
    <mergeCell ref="D32:F38"/>
    <mergeCell ref="B32:B34"/>
    <mergeCell ref="B4:B5"/>
    <mergeCell ref="D25:F28"/>
    <mergeCell ref="D29:F31"/>
    <mergeCell ref="D19:E19"/>
  </mergeCells>
  <printOptions horizontalCentered="1" verticalCentered="1"/>
  <pageMargins left="0.7" right="0.7" top="0.75" bottom="0.75" header="0.3" footer="0.3"/>
  <pageSetup paperSize="9" scale="53" orientation="portrait" blackAndWhite="1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2:H55"/>
  <sheetViews>
    <sheetView topLeftCell="A24" zoomScale="70" zoomScaleNormal="70" workbookViewId="0">
      <selection activeCell="C48" sqref="C48"/>
    </sheetView>
  </sheetViews>
  <sheetFormatPr defaultRowHeight="14.5"/>
  <cols>
    <col min="3" max="3" width="86.81640625" bestFit="1" customWidth="1"/>
    <col min="5" max="5" width="40.26953125" customWidth="1"/>
    <col min="11" max="11" width="17.26953125" bestFit="1" customWidth="1"/>
  </cols>
  <sheetData>
    <row r="2" spans="3:8" ht="15" thickBot="1">
      <c r="C2" s="51" t="s">
        <v>40</v>
      </c>
      <c r="E2" s="2"/>
    </row>
    <row r="3" spans="3:8" ht="15" thickBot="1">
      <c r="C3" s="55" t="s">
        <v>44</v>
      </c>
      <c r="E3" s="186" t="s">
        <v>129</v>
      </c>
    </row>
    <row r="4" spans="3:8" ht="15" thickBot="1">
      <c r="C4" s="50" t="s">
        <v>45</v>
      </c>
      <c r="E4" s="187" t="s">
        <v>87</v>
      </c>
      <c r="G4" s="146" t="s">
        <v>42</v>
      </c>
    </row>
    <row r="5" spans="3:8" ht="15" thickBot="1">
      <c r="C5" s="50" t="s">
        <v>46</v>
      </c>
      <c r="E5" s="185" t="s">
        <v>86</v>
      </c>
      <c r="G5" s="147" t="s">
        <v>43</v>
      </c>
    </row>
    <row r="6" spans="3:8">
      <c r="C6" s="55" t="s">
        <v>47</v>
      </c>
      <c r="E6" s="184" t="s">
        <v>120</v>
      </c>
    </row>
    <row r="7" spans="3:8">
      <c r="C7" s="55" t="s">
        <v>48</v>
      </c>
      <c r="E7" s="184" t="s">
        <v>121</v>
      </c>
    </row>
    <row r="8" spans="3:8">
      <c r="C8" s="55" t="s">
        <v>49</v>
      </c>
      <c r="E8" s="184" t="s">
        <v>122</v>
      </c>
    </row>
    <row r="9" spans="3:8">
      <c r="C9" s="50" t="s">
        <v>61</v>
      </c>
      <c r="E9" s="184" t="s">
        <v>88</v>
      </c>
      <c r="H9">
        <f>COUNTA(E4:E28)</f>
        <v>14</v>
      </c>
    </row>
    <row r="10" spans="3:8">
      <c r="C10" s="50" t="s">
        <v>62</v>
      </c>
      <c r="E10" s="184" t="s">
        <v>90</v>
      </c>
    </row>
    <row r="11" spans="3:8">
      <c r="C11" s="55" t="s">
        <v>50</v>
      </c>
      <c r="E11" s="184" t="s">
        <v>123</v>
      </c>
    </row>
    <row r="12" spans="3:8">
      <c r="C12" s="50" t="s">
        <v>51</v>
      </c>
      <c r="E12" s="184" t="s">
        <v>124</v>
      </c>
    </row>
    <row r="13" spans="3:8">
      <c r="C13" s="50" t="s">
        <v>52</v>
      </c>
      <c r="E13" s="184" t="s">
        <v>125</v>
      </c>
    </row>
    <row r="14" spans="3:8">
      <c r="C14" s="50" t="s">
        <v>59</v>
      </c>
      <c r="E14" s="184" t="s">
        <v>126</v>
      </c>
    </row>
    <row r="15" spans="3:8">
      <c r="C15" s="50" t="s">
        <v>60</v>
      </c>
      <c r="E15" s="184" t="s">
        <v>89</v>
      </c>
    </row>
    <row r="16" spans="3:8" ht="16.5">
      <c r="C16" s="169" t="s">
        <v>96</v>
      </c>
      <c r="E16" s="184" t="s">
        <v>127</v>
      </c>
    </row>
    <row r="17" spans="3:5" ht="16.5">
      <c r="C17" s="169" t="s">
        <v>97</v>
      </c>
      <c r="E17" s="184" t="s">
        <v>128</v>
      </c>
    </row>
    <row r="18" spans="3:5" ht="16.5">
      <c r="C18" s="169" t="s">
        <v>98</v>
      </c>
      <c r="E18" s="144"/>
    </row>
    <row r="19" spans="3:5" ht="16.5">
      <c r="C19" s="169" t="s">
        <v>99</v>
      </c>
      <c r="E19" s="144"/>
    </row>
    <row r="20" spans="3:5" ht="17" thickBot="1">
      <c r="C20" s="169" t="s">
        <v>100</v>
      </c>
      <c r="E20" s="145"/>
    </row>
    <row r="21" spans="3:5" ht="16.5">
      <c r="C21" s="169" t="s">
        <v>101</v>
      </c>
      <c r="E21" s="183"/>
    </row>
    <row r="22" spans="3:5" ht="16.5">
      <c r="C22" s="169" t="s">
        <v>94</v>
      </c>
      <c r="E22" s="144"/>
    </row>
    <row r="23" spans="3:5" ht="16.5">
      <c r="C23" s="169" t="s">
        <v>102</v>
      </c>
      <c r="E23" s="144"/>
    </row>
    <row r="24" spans="3:5" ht="16.5">
      <c r="C24" s="169" t="s">
        <v>103</v>
      </c>
      <c r="E24" s="144"/>
    </row>
    <row r="25" spans="3:5" ht="16.5">
      <c r="C25" s="169" t="s">
        <v>95</v>
      </c>
      <c r="E25" s="144"/>
    </row>
    <row r="26" spans="3:5" ht="16.5">
      <c r="C26" s="169" t="s">
        <v>104</v>
      </c>
      <c r="E26" s="144"/>
    </row>
    <row r="27" spans="3:5" ht="16.5">
      <c r="C27" s="169" t="s">
        <v>105</v>
      </c>
      <c r="E27" s="144"/>
    </row>
    <row r="28" spans="3:5" ht="17" thickBot="1">
      <c r="C28" s="169" t="s">
        <v>106</v>
      </c>
      <c r="E28" s="145"/>
    </row>
    <row r="29" spans="3:5" ht="16.5">
      <c r="C29" s="169" t="s">
        <v>107</v>
      </c>
    </row>
    <row r="30" spans="3:5">
      <c r="C30" t="s">
        <v>108</v>
      </c>
    </row>
    <row r="45" spans="2:3">
      <c r="C45" s="52" t="s">
        <v>41</v>
      </c>
    </row>
    <row r="46" spans="2:3">
      <c r="B46" t="s">
        <v>174</v>
      </c>
      <c r="C46" s="55" t="s">
        <v>53</v>
      </c>
    </row>
    <row r="47" spans="2:3">
      <c r="B47" t="s">
        <v>33</v>
      </c>
      <c r="C47" s="55" t="s">
        <v>58</v>
      </c>
    </row>
    <row r="48" spans="2:3">
      <c r="B48" t="s">
        <v>32</v>
      </c>
      <c r="C48" s="55" t="s">
        <v>57</v>
      </c>
    </row>
    <row r="49" spans="2:3">
      <c r="B49" t="s">
        <v>31</v>
      </c>
      <c r="C49" s="50" t="s">
        <v>54</v>
      </c>
    </row>
    <row r="50" spans="2:3">
      <c r="B50" t="s">
        <v>173</v>
      </c>
      <c r="C50" s="55" t="s">
        <v>55</v>
      </c>
    </row>
    <row r="51" spans="2:3">
      <c r="B51" t="s">
        <v>30</v>
      </c>
      <c r="C51" s="55" t="s">
        <v>56</v>
      </c>
    </row>
    <row r="52" spans="2:3">
      <c r="C52" s="55"/>
    </row>
    <row r="53" spans="2:3">
      <c r="C53" s="55"/>
    </row>
    <row r="54" spans="2:3">
      <c r="C54" s="55"/>
    </row>
    <row r="55" spans="2:3">
      <c r="C55" s="5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</sheetPr>
  <dimension ref="A1:DW73"/>
  <sheetViews>
    <sheetView showGridLines="0" zoomScale="70" zoomScaleNormal="70" workbookViewId="0">
      <pane xSplit="18" ySplit="4" topLeftCell="S5" activePane="bottomRight" state="frozen"/>
      <selection activeCell="DO4" sqref="DO4"/>
      <selection pane="topRight" activeCell="DO4" sqref="DO4"/>
      <selection pane="bottomLeft" activeCell="DO4" sqref="DO4"/>
      <selection pane="bottomRight" sqref="A1:B2"/>
    </sheetView>
  </sheetViews>
  <sheetFormatPr defaultColWidth="9.1796875" defaultRowHeight="14.5"/>
  <cols>
    <col min="1" max="1" width="5.1796875" style="4" customWidth="1"/>
    <col min="2" max="2" width="25.453125" style="4" bestFit="1" customWidth="1"/>
    <col min="3" max="4" width="10" style="4" customWidth="1"/>
    <col min="5" max="5" width="11.1796875" style="4" customWidth="1"/>
    <col min="6" max="6" width="1" style="4" customWidth="1"/>
    <col min="7" max="7" width="11" style="4" customWidth="1"/>
    <col min="8" max="8" width="12.453125" style="4" customWidth="1"/>
    <col min="9" max="9" width="14.453125" style="4" customWidth="1"/>
    <col min="10" max="10" width="14.81640625" style="4" customWidth="1"/>
    <col min="11" max="11" width="0.81640625" style="4" customWidth="1"/>
    <col min="12" max="12" width="9.81640625" style="4" customWidth="1"/>
    <col min="13" max="13" width="9.26953125" style="4" customWidth="1"/>
    <col min="14" max="14" width="9.1796875" style="4" customWidth="1"/>
    <col min="15" max="15" width="8.26953125" style="4" customWidth="1"/>
    <col min="16" max="16" width="13.54296875" style="4" customWidth="1"/>
    <col min="17" max="17" width="9.7265625" style="4" customWidth="1"/>
    <col min="18" max="18" width="0.81640625" style="4" customWidth="1"/>
    <col min="19" max="19" width="5.26953125" style="73" customWidth="1"/>
    <col min="20" max="20" width="8.26953125" style="73" customWidth="1"/>
    <col min="21" max="21" width="11.26953125" style="73" customWidth="1"/>
    <col min="22" max="22" width="0.81640625" style="73" customWidth="1"/>
    <col min="23" max="23" width="5.26953125" style="73" customWidth="1"/>
    <col min="24" max="24" width="8.26953125" style="73" customWidth="1"/>
    <col min="25" max="25" width="11.81640625" style="73" customWidth="1"/>
    <col min="26" max="26" width="0.81640625" style="73" customWidth="1"/>
    <col min="27" max="27" width="5.26953125" style="73" customWidth="1"/>
    <col min="28" max="28" width="8.26953125" style="73" customWidth="1"/>
    <col min="29" max="29" width="10.81640625" style="73" customWidth="1"/>
    <col min="30" max="30" width="0.81640625" style="73" customWidth="1"/>
    <col min="31" max="31" width="5.26953125" style="73" customWidth="1"/>
    <col min="32" max="32" width="8.26953125" style="73" customWidth="1"/>
    <col min="33" max="33" width="12.1796875" style="73" customWidth="1"/>
    <col min="34" max="34" width="0.81640625" style="73" customWidth="1"/>
    <col min="35" max="35" width="5.26953125" style="73" customWidth="1"/>
    <col min="36" max="36" width="8.26953125" style="73" customWidth="1"/>
    <col min="37" max="37" width="10.453125" style="73" customWidth="1"/>
    <col min="38" max="38" width="0.81640625" style="73" customWidth="1"/>
    <col min="39" max="39" width="5.26953125" style="73" customWidth="1"/>
    <col min="40" max="40" width="8.26953125" style="73" customWidth="1"/>
    <col min="41" max="41" width="11.26953125" style="73" customWidth="1"/>
    <col min="42" max="42" width="0.81640625" style="73" customWidth="1"/>
    <col min="43" max="43" width="5.26953125" style="73" customWidth="1"/>
    <col min="44" max="44" width="8.26953125" style="73" customWidth="1"/>
    <col min="45" max="45" width="11.26953125" style="73" customWidth="1"/>
    <col min="46" max="46" width="0.81640625" style="73" customWidth="1"/>
    <col min="47" max="47" width="5.26953125" style="73" customWidth="1"/>
    <col min="48" max="48" width="8.26953125" style="73" customWidth="1"/>
    <col min="49" max="49" width="11.26953125" style="73" customWidth="1"/>
    <col min="50" max="50" width="0.81640625" style="73" customWidth="1"/>
    <col min="51" max="51" width="5.26953125" style="73" customWidth="1"/>
    <col min="52" max="52" width="8.26953125" style="73" customWidth="1"/>
    <col min="53" max="53" width="11.26953125" style="73" customWidth="1"/>
    <col min="54" max="54" width="0.81640625" style="73" customWidth="1"/>
    <col min="55" max="55" width="5.26953125" style="73" customWidth="1"/>
    <col min="56" max="56" width="8.26953125" style="73" customWidth="1"/>
    <col min="57" max="57" width="11.26953125" style="73" customWidth="1"/>
    <col min="58" max="58" width="0.81640625" style="73" customWidth="1"/>
    <col min="59" max="59" width="5.26953125" style="73" customWidth="1"/>
    <col min="60" max="60" width="8.26953125" style="73" customWidth="1"/>
    <col min="61" max="61" width="11.26953125" style="73" customWidth="1"/>
    <col min="62" max="62" width="0.81640625" style="73" customWidth="1"/>
    <col min="63" max="63" width="5.26953125" style="73" customWidth="1"/>
    <col min="64" max="64" width="8.26953125" style="73" customWidth="1"/>
    <col min="65" max="65" width="11.26953125" style="73" customWidth="1"/>
    <col min="66" max="66" width="0.81640625" style="73" customWidth="1"/>
    <col min="67" max="67" width="5.26953125" style="73" customWidth="1"/>
    <col min="68" max="68" width="8.26953125" style="73" customWidth="1"/>
    <col min="69" max="69" width="11.26953125" style="73" customWidth="1"/>
    <col min="70" max="70" width="0.81640625" style="73" customWidth="1"/>
    <col min="71" max="71" width="5.26953125" style="73" customWidth="1"/>
    <col min="72" max="72" width="8.26953125" style="73" customWidth="1"/>
    <col min="73" max="73" width="11.26953125" style="73" customWidth="1"/>
    <col min="74" max="74" width="0.81640625" style="73" customWidth="1"/>
    <col min="75" max="75" width="5.26953125" style="73" customWidth="1"/>
    <col min="76" max="76" width="8.26953125" style="73" customWidth="1"/>
    <col min="77" max="77" width="11.26953125" style="73" customWidth="1"/>
    <col min="78" max="78" width="0.81640625" style="73" customWidth="1"/>
    <col min="79" max="79" width="5.26953125" style="73" customWidth="1"/>
    <col min="80" max="80" width="8.26953125" style="73" customWidth="1"/>
    <col min="81" max="81" width="11.26953125" style="73" customWidth="1"/>
    <col min="82" max="82" width="0.81640625" style="4" customWidth="1"/>
    <col min="83" max="83" width="5.26953125" style="4" customWidth="1"/>
    <col min="84" max="84" width="8.26953125" style="4" customWidth="1"/>
    <col min="85" max="85" width="11.26953125" style="4" customWidth="1"/>
    <col min="86" max="86" width="0.81640625" customWidth="1"/>
    <col min="87" max="87" width="5.26953125" style="4" customWidth="1"/>
    <col min="88" max="88" width="8.26953125" style="4" customWidth="1"/>
    <col min="89" max="89" width="11.26953125" style="4" customWidth="1"/>
    <col min="90" max="90" width="0.81640625" style="4" customWidth="1"/>
    <col min="91" max="91" width="5.26953125" style="73" customWidth="1"/>
    <col min="92" max="92" width="8.26953125" style="73" customWidth="1"/>
    <col min="93" max="93" width="11.26953125" style="73" customWidth="1"/>
    <col min="94" max="94" width="0.81640625" style="73" customWidth="1"/>
    <col min="95" max="95" width="5.26953125" style="73" customWidth="1"/>
    <col min="96" max="96" width="8.26953125" style="73" customWidth="1"/>
    <col min="97" max="97" width="11.26953125" style="73" customWidth="1"/>
    <col min="98" max="98" width="0.81640625" style="73" customWidth="1"/>
    <col min="99" max="99" width="5.26953125" style="73" customWidth="1"/>
    <col min="100" max="100" width="8.26953125" style="73" customWidth="1"/>
    <col min="101" max="101" width="11.26953125" style="73" customWidth="1"/>
    <col min="102" max="102" width="0.81640625" style="73" customWidth="1"/>
    <col min="103" max="103" width="5.26953125" style="73" customWidth="1"/>
    <col min="104" max="104" width="8.26953125" style="73" customWidth="1"/>
    <col min="105" max="105" width="11.26953125" style="73" customWidth="1"/>
    <col min="106" max="106" width="0.81640625" style="73" customWidth="1"/>
    <col min="107" max="107" width="5.26953125" style="73" customWidth="1"/>
    <col min="108" max="108" width="8.26953125" style="73" customWidth="1"/>
    <col min="109" max="109" width="11.26953125" style="73" customWidth="1"/>
    <col min="110" max="110" width="0.81640625" style="4" customWidth="1"/>
    <col min="111" max="111" width="5.26953125" style="4" customWidth="1"/>
    <col min="112" max="112" width="8.26953125" style="4" customWidth="1"/>
    <col min="113" max="113" width="11.26953125" style="4" customWidth="1"/>
    <col min="114" max="114" width="0.81640625" customWidth="1"/>
    <col min="115" max="115" width="5.26953125" style="4" customWidth="1"/>
    <col min="116" max="116" width="8.26953125" style="4" customWidth="1"/>
    <col min="117" max="117" width="11.26953125" style="4" customWidth="1"/>
    <col min="118" max="118" width="0.81640625" style="4" customWidth="1"/>
    <col min="119" max="119" width="20.26953125" style="4" customWidth="1"/>
    <col min="120" max="120" width="0.54296875" style="4" customWidth="1"/>
    <col min="121" max="121" width="19.81640625" style="4" bestFit="1" customWidth="1"/>
    <col min="122" max="122" width="1.26953125" style="4" customWidth="1"/>
    <col min="123" max="123" width="21.54296875" style="4" bestFit="1" customWidth="1"/>
    <col min="124" max="16384" width="9.1796875" style="4"/>
  </cols>
  <sheetData>
    <row r="1" spans="1:127" s="3" customFormat="1" ht="10.5" hidden="1" customHeight="1">
      <c r="A1" s="237"/>
      <c r="B1" s="238"/>
      <c r="S1" s="3" t="str">
        <f>S$2&amp;S4</f>
        <v>ENGLISH LANGUAGECA</v>
      </c>
      <c r="T1" s="3" t="str">
        <f>S$2&amp;T4</f>
        <v>ENGLISH LANGUAGEExam.</v>
      </c>
      <c r="U1" s="3">
        <f t="shared" ref="U1:DB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-CA</v>
      </c>
      <c r="AJ1" s="3" t="str">
        <f>AI$2&amp;AJ4</f>
        <v>-Exam.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GEOGRAPHYCA</v>
      </c>
      <c r="BX1" s="3" t="str">
        <f>BW$2&amp;BX4</f>
        <v>GEOGRAPHYExam.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>CC2</f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GEOGRAPHYCA</v>
      </c>
      <c r="CZ1" s="3" t="str">
        <f>CY$2&amp;CZ4</f>
        <v>GEOGRAPHYExam.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>DE2</f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</row>
    <row r="2" spans="1:127" s="3" customFormat="1" ht="10.5" customHeight="1" thickBot="1">
      <c r="A2" s="239"/>
      <c r="B2" s="240"/>
      <c r="F2"/>
      <c r="S2" s="233" t="s">
        <v>86</v>
      </c>
      <c r="T2" s="233"/>
      <c r="U2" s="233"/>
      <c r="V2"/>
      <c r="W2" s="233" t="s">
        <v>87</v>
      </c>
      <c r="X2" s="233"/>
      <c r="Y2" s="233"/>
      <c r="Z2"/>
      <c r="AA2" s="233" t="s">
        <v>120</v>
      </c>
      <c r="AB2" s="233"/>
      <c r="AC2" s="233"/>
      <c r="AE2" s="233" t="s">
        <v>121</v>
      </c>
      <c r="AF2" s="233"/>
      <c r="AG2" s="233"/>
      <c r="AH2"/>
      <c r="AI2" s="233" t="s">
        <v>129</v>
      </c>
      <c r="AJ2" s="233"/>
      <c r="AK2" s="233"/>
      <c r="AL2"/>
      <c r="AM2" s="233" t="s">
        <v>88</v>
      </c>
      <c r="AN2" s="233"/>
      <c r="AO2" s="233"/>
      <c r="AP2"/>
      <c r="AQ2" s="233" t="s">
        <v>90</v>
      </c>
      <c r="AR2" s="233"/>
      <c r="AS2" s="233"/>
      <c r="AU2" s="233" t="s">
        <v>123</v>
      </c>
      <c r="AV2" s="233"/>
      <c r="AW2" s="233"/>
      <c r="AY2" s="233" t="s">
        <v>124</v>
      </c>
      <c r="AZ2" s="233"/>
      <c r="BA2" s="233"/>
      <c r="BB2"/>
      <c r="BC2" s="233" t="s">
        <v>125</v>
      </c>
      <c r="BD2" s="233"/>
      <c r="BE2" s="233"/>
      <c r="BG2" s="233" t="s">
        <v>126</v>
      </c>
      <c r="BH2" s="233"/>
      <c r="BI2" s="233"/>
      <c r="BK2" s="233" t="s">
        <v>89</v>
      </c>
      <c r="BL2" s="233"/>
      <c r="BM2" s="233"/>
      <c r="BO2" s="233" t="s">
        <v>127</v>
      </c>
      <c r="BP2" s="233"/>
      <c r="BQ2" s="233"/>
      <c r="BS2" s="235" t="s">
        <v>128</v>
      </c>
      <c r="BT2" s="235"/>
      <c r="BU2" s="235"/>
      <c r="BW2" s="233" t="s">
        <v>122</v>
      </c>
      <c r="BX2" s="233"/>
      <c r="BY2" s="233"/>
      <c r="CA2" s="233" t="s">
        <v>129</v>
      </c>
      <c r="CB2" s="233"/>
      <c r="CC2" s="233"/>
      <c r="CE2" s="233" t="s">
        <v>129</v>
      </c>
      <c r="CF2" s="233"/>
      <c r="CG2" s="233"/>
      <c r="CH2"/>
      <c r="CI2" s="233" t="s">
        <v>129</v>
      </c>
      <c r="CJ2" s="233"/>
      <c r="CK2" s="233"/>
      <c r="CM2" s="233" t="s">
        <v>89</v>
      </c>
      <c r="CN2" s="233"/>
      <c r="CO2" s="233"/>
      <c r="CQ2" s="233" t="s">
        <v>127</v>
      </c>
      <c r="CR2" s="233"/>
      <c r="CS2" s="233"/>
      <c r="CU2" s="235" t="s">
        <v>128</v>
      </c>
      <c r="CV2" s="235"/>
      <c r="CW2" s="235"/>
      <c r="CY2" s="233" t="s">
        <v>122</v>
      </c>
      <c r="CZ2" s="233"/>
      <c r="DA2" s="233"/>
      <c r="DC2" s="233" t="s">
        <v>129</v>
      </c>
      <c r="DD2" s="233"/>
      <c r="DE2" s="233"/>
      <c r="DG2" s="233" t="s">
        <v>129</v>
      </c>
      <c r="DH2" s="233"/>
      <c r="DI2" s="233"/>
      <c r="DJ2"/>
      <c r="DK2" s="233" t="s">
        <v>129</v>
      </c>
      <c r="DL2" s="233"/>
      <c r="DM2" s="233"/>
    </row>
    <row r="3" spans="1:127" s="7" customFormat="1" ht="10.5" customHeight="1" thickBot="1">
      <c r="A3" s="30"/>
      <c r="B3" s="30"/>
      <c r="C3" s="30"/>
      <c r="D3" s="30"/>
      <c r="E3" s="30"/>
      <c r="F3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234"/>
      <c r="T3" s="234"/>
      <c r="U3" s="234"/>
      <c r="V3"/>
      <c r="W3" s="233"/>
      <c r="X3" s="233"/>
      <c r="Y3" s="233"/>
      <c r="Z3"/>
      <c r="AA3" s="233"/>
      <c r="AB3" s="233"/>
      <c r="AC3" s="233"/>
      <c r="AD3" s="30"/>
      <c r="AE3" s="234"/>
      <c r="AF3" s="234"/>
      <c r="AG3" s="234"/>
      <c r="AH3"/>
      <c r="AI3" s="234"/>
      <c r="AJ3" s="234"/>
      <c r="AK3" s="234"/>
      <c r="AL3"/>
      <c r="AM3" s="234"/>
      <c r="AN3" s="234"/>
      <c r="AO3" s="234"/>
      <c r="AP3"/>
      <c r="AQ3" s="234"/>
      <c r="AR3" s="234"/>
      <c r="AS3" s="234"/>
      <c r="AT3" s="30"/>
      <c r="AU3" s="234"/>
      <c r="AV3" s="234"/>
      <c r="AW3" s="234"/>
      <c r="AX3" s="30"/>
      <c r="AY3" s="234"/>
      <c r="AZ3" s="234"/>
      <c r="BA3" s="234"/>
      <c r="BB3"/>
      <c r="BC3" s="234"/>
      <c r="BD3" s="234"/>
      <c r="BE3" s="234"/>
      <c r="BF3" s="30"/>
      <c r="BG3" s="234"/>
      <c r="BH3" s="234"/>
      <c r="BI3" s="234"/>
      <c r="BJ3" s="30"/>
      <c r="BK3" s="234"/>
      <c r="BL3" s="234"/>
      <c r="BM3" s="234"/>
      <c r="BN3" s="30"/>
      <c r="BO3" s="234"/>
      <c r="BP3" s="234"/>
      <c r="BQ3" s="234"/>
      <c r="BR3" s="30"/>
      <c r="BS3" s="236"/>
      <c r="BT3" s="236"/>
      <c r="BU3" s="236"/>
      <c r="BV3" s="30"/>
      <c r="BW3" s="234"/>
      <c r="BX3" s="234"/>
      <c r="BY3" s="234"/>
      <c r="BZ3" s="30"/>
      <c r="CA3" s="234"/>
      <c r="CB3" s="234"/>
      <c r="CC3" s="234"/>
      <c r="CD3" s="30"/>
      <c r="CE3" s="234"/>
      <c r="CF3" s="234"/>
      <c r="CG3" s="234"/>
      <c r="CI3" s="234"/>
      <c r="CJ3" s="234"/>
      <c r="CK3" s="234"/>
      <c r="CL3" s="170"/>
      <c r="CM3" s="234"/>
      <c r="CN3" s="234"/>
      <c r="CO3" s="234"/>
      <c r="CP3" s="30"/>
      <c r="CQ3" s="234"/>
      <c r="CR3" s="234"/>
      <c r="CS3" s="234"/>
      <c r="CT3" s="30"/>
      <c r="CU3" s="236"/>
      <c r="CV3" s="236"/>
      <c r="CW3" s="236"/>
      <c r="CX3" s="30"/>
      <c r="CY3" s="234"/>
      <c r="CZ3" s="234"/>
      <c r="DA3" s="234"/>
      <c r="DB3" s="30"/>
      <c r="DC3" s="234"/>
      <c r="DD3" s="234"/>
      <c r="DE3" s="234"/>
      <c r="DF3" s="30"/>
      <c r="DG3" s="234"/>
      <c r="DH3" s="234"/>
      <c r="DI3" s="234"/>
      <c r="DK3" s="234"/>
      <c r="DL3" s="234"/>
      <c r="DM3" s="234"/>
      <c r="DN3" s="170"/>
      <c r="DO3" s="241" t="s">
        <v>77</v>
      </c>
      <c r="DP3" s="241"/>
      <c r="DQ3" s="241"/>
      <c r="DR3" s="241"/>
      <c r="DS3" s="241"/>
    </row>
    <row r="4" spans="1:127" ht="18.75" customHeight="1" thickBot="1">
      <c r="A4"/>
      <c r="B4"/>
      <c r="F4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  <c r="DW4"/>
    </row>
    <row r="5" spans="1:127" s="87" customFormat="1" ht="26.25" customHeight="1">
      <c r="A5" s="83" t="s">
        <v>71</v>
      </c>
      <c r="B5" s="180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48" t="s">
        <v>92</v>
      </c>
      <c r="J5" s="149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68" si="22">DG5+DH5</f>
        <v>100</v>
      </c>
      <c r="DK5" s="127">
        <v>40</v>
      </c>
      <c r="DL5" s="123">
        <v>60</v>
      </c>
      <c r="DM5" s="121">
        <f t="shared" ref="DM5:DM68" si="23">DK5+DL5</f>
        <v>100</v>
      </c>
      <c r="DO5" s="106" t="s">
        <v>69</v>
      </c>
      <c r="DQ5" s="128" t="s">
        <v>15</v>
      </c>
      <c r="DS5" s="153" t="s">
        <v>68</v>
      </c>
      <c r="DU5" s="112"/>
      <c r="DW5" s="112"/>
    </row>
    <row r="6" spans="1:127" ht="18.5">
      <c r="A6" s="178">
        <v>1</v>
      </c>
      <c r="B6" s="189" t="s">
        <v>109</v>
      </c>
      <c r="C6" s="179">
        <v>136</v>
      </c>
      <c r="D6" s="34">
        <v>136</v>
      </c>
      <c r="E6" s="34">
        <v>0</v>
      </c>
      <c r="F6"/>
      <c r="G6" s="31">
        <v>2</v>
      </c>
      <c r="H6" s="34">
        <v>4</v>
      </c>
      <c r="I6" s="31">
        <v>4</v>
      </c>
      <c r="J6" s="34">
        <v>4</v>
      </c>
      <c r="K6" s="5"/>
      <c r="L6" s="32">
        <v>4</v>
      </c>
      <c r="M6" s="32">
        <v>4</v>
      </c>
      <c r="N6" s="32">
        <v>4</v>
      </c>
      <c r="O6" s="32">
        <v>1</v>
      </c>
      <c r="P6" s="32">
        <v>4</v>
      </c>
      <c r="Q6" s="32">
        <v>4</v>
      </c>
      <c r="R6" s="5"/>
      <c r="S6" s="114">
        <v>12</v>
      </c>
      <c r="T6" s="114">
        <v>39</v>
      </c>
      <c r="U6" s="115">
        <f t="shared" ref="U6:U12" si="24">S6+T6</f>
        <v>51</v>
      </c>
      <c r="V6" s="116"/>
      <c r="W6" s="114">
        <v>40</v>
      </c>
      <c r="X6" s="114">
        <v>44</v>
      </c>
      <c r="Y6" s="115">
        <f t="shared" si="1"/>
        <v>84</v>
      </c>
      <c r="Z6" s="116"/>
      <c r="AA6" s="114">
        <v>29</v>
      </c>
      <c r="AB6" s="114">
        <v>25</v>
      </c>
      <c r="AC6" s="115">
        <f t="shared" si="2"/>
        <v>54</v>
      </c>
      <c r="AD6" s="114"/>
      <c r="AE6" s="114">
        <v>24</v>
      </c>
      <c r="AF6" s="114">
        <v>30</v>
      </c>
      <c r="AG6" s="115">
        <f t="shared" si="3"/>
        <v>54</v>
      </c>
      <c r="AH6" s="116"/>
      <c r="AI6" s="114"/>
      <c r="AJ6" s="114"/>
      <c r="AK6" s="115">
        <f t="shared" si="4"/>
        <v>0</v>
      </c>
      <c r="AL6" s="116"/>
      <c r="AM6" s="114">
        <v>30</v>
      </c>
      <c r="AN6" s="114">
        <v>53</v>
      </c>
      <c r="AO6" s="115">
        <f t="shared" si="5"/>
        <v>83</v>
      </c>
      <c r="AP6" s="116"/>
      <c r="AQ6" s="114"/>
      <c r="AR6" s="114"/>
      <c r="AS6" s="115">
        <f t="shared" si="6"/>
        <v>0</v>
      </c>
      <c r="AT6" s="114"/>
      <c r="AU6" s="114">
        <v>40</v>
      </c>
      <c r="AV6" s="114">
        <v>44</v>
      </c>
      <c r="AW6" s="117">
        <f t="shared" ref="AW6:AW12" si="25">SUM(AU6:AV6)</f>
        <v>84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/>
      <c r="BH6" s="114"/>
      <c r="BI6" s="115">
        <f t="shared" si="9"/>
        <v>0</v>
      </c>
      <c r="BJ6" s="114"/>
      <c r="BK6" s="114"/>
      <c r="BL6" s="114"/>
      <c r="BM6" s="115">
        <f t="shared" si="10"/>
        <v>0</v>
      </c>
      <c r="BN6" s="114"/>
      <c r="BO6" s="114">
        <v>26</v>
      </c>
      <c r="BP6" s="191">
        <v>24</v>
      </c>
      <c r="BQ6" s="194">
        <f t="shared" si="11"/>
        <v>50</v>
      </c>
      <c r="BR6" s="193"/>
      <c r="BS6" s="114"/>
      <c r="BT6" s="114"/>
      <c r="BU6" s="115">
        <f t="shared" si="12"/>
        <v>0</v>
      </c>
      <c r="BV6" s="114"/>
      <c r="BW6" s="114"/>
      <c r="BX6" s="114">
        <v>40</v>
      </c>
      <c r="BY6" s="115">
        <f t="shared" si="13"/>
        <v>40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>
        <v>26</v>
      </c>
      <c r="CR6" s="191">
        <v>24</v>
      </c>
      <c r="CS6" s="194">
        <f t="shared" si="18"/>
        <v>50</v>
      </c>
      <c r="CT6" s="193"/>
      <c r="CU6" s="114"/>
      <c r="CV6" s="114"/>
      <c r="CW6" s="115">
        <f t="shared" si="19"/>
        <v>0</v>
      </c>
      <c r="CX6" s="114"/>
      <c r="CY6" s="114"/>
      <c r="CZ6" s="114">
        <v>40</v>
      </c>
      <c r="DA6" s="115">
        <f t="shared" si="20"/>
        <v>40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590</v>
      </c>
      <c r="DQ6" s="129">
        <f t="shared" ref="DQ6:DQ37" si="27">IFERROR(DO6/(COUNTIFS($S6:$DM6,"&gt;0",$S$4:$DM$4,$DM$4)*100),"-")</f>
        <v>0.59</v>
      </c>
      <c r="DS6" s="110" t="str">
        <f>IFERROR(RANK(DQ6,$DQ$6:$DQ$70)&amp;LOOKUP(RANK(DQ6,$DQ$6:$DQ$70),{1,2,3,4;"st","nd","rd","th"}),"-")</f>
        <v>6th</v>
      </c>
      <c r="DU6" s="113"/>
      <c r="DW6"/>
    </row>
    <row r="7" spans="1:127" ht="18.5">
      <c r="A7" s="178">
        <v>2</v>
      </c>
      <c r="B7" s="189" t="s">
        <v>110</v>
      </c>
      <c r="C7" s="179">
        <v>136</v>
      </c>
      <c r="D7" s="4">
        <v>126</v>
      </c>
      <c r="E7" s="35">
        <v>10</v>
      </c>
      <c r="F7"/>
      <c r="G7" s="34">
        <v>4</v>
      </c>
      <c r="H7" s="34">
        <v>4</v>
      </c>
      <c r="I7" s="34">
        <v>3</v>
      </c>
      <c r="J7" s="34">
        <v>4</v>
      </c>
      <c r="K7" s="5"/>
      <c r="L7" s="36">
        <v>4</v>
      </c>
      <c r="M7" s="36">
        <v>4</v>
      </c>
      <c r="N7" s="36">
        <v>4</v>
      </c>
      <c r="O7" s="36">
        <v>4</v>
      </c>
      <c r="P7" s="36">
        <v>4</v>
      </c>
      <c r="Q7" s="36">
        <v>4</v>
      </c>
      <c r="R7" s="5"/>
      <c r="S7" s="114">
        <v>15</v>
      </c>
      <c r="T7" s="114">
        <v>40</v>
      </c>
      <c r="U7" s="115">
        <f t="shared" si="24"/>
        <v>55</v>
      </c>
      <c r="V7" s="116"/>
      <c r="W7" s="114">
        <v>40</v>
      </c>
      <c r="X7" s="114">
        <v>44</v>
      </c>
      <c r="Y7" s="115">
        <f t="shared" si="1"/>
        <v>84</v>
      </c>
      <c r="Z7" s="116"/>
      <c r="AA7" s="114">
        <v>31</v>
      </c>
      <c r="AB7" s="114">
        <v>30</v>
      </c>
      <c r="AC7" s="115">
        <f t="shared" si="2"/>
        <v>61</v>
      </c>
      <c r="AD7" s="114"/>
      <c r="AE7" s="114">
        <v>15</v>
      </c>
      <c r="AF7" s="114">
        <v>28</v>
      </c>
      <c r="AG7" s="115">
        <f t="shared" si="3"/>
        <v>43</v>
      </c>
      <c r="AH7" s="116"/>
      <c r="AI7" s="114"/>
      <c r="AJ7" s="114"/>
      <c r="AK7" s="115">
        <f t="shared" si="4"/>
        <v>0</v>
      </c>
      <c r="AL7" s="116"/>
      <c r="AM7" s="114">
        <v>30</v>
      </c>
      <c r="AN7" s="114">
        <v>55</v>
      </c>
      <c r="AO7" s="115">
        <f t="shared" si="5"/>
        <v>85</v>
      </c>
      <c r="AP7" s="116"/>
      <c r="AQ7" s="114"/>
      <c r="AR7" s="114"/>
      <c r="AS7" s="115">
        <f t="shared" si="6"/>
        <v>0</v>
      </c>
      <c r="AT7" s="114"/>
      <c r="AU7" s="114">
        <v>40</v>
      </c>
      <c r="AV7" s="114">
        <v>44</v>
      </c>
      <c r="AW7" s="117">
        <f t="shared" si="25"/>
        <v>84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>
        <v>28</v>
      </c>
      <c r="BH7" s="114">
        <v>30</v>
      </c>
      <c r="BI7" s="115">
        <f t="shared" si="9"/>
        <v>58</v>
      </c>
      <c r="BJ7" s="114"/>
      <c r="BK7" s="114"/>
      <c r="BL7" s="114"/>
      <c r="BM7" s="115">
        <f t="shared" si="10"/>
        <v>0</v>
      </c>
      <c r="BN7" s="114"/>
      <c r="BO7" s="114">
        <v>30</v>
      </c>
      <c r="BP7" s="191">
        <v>31</v>
      </c>
      <c r="BQ7" s="194">
        <f t="shared" si="11"/>
        <v>61</v>
      </c>
      <c r="BR7" s="193"/>
      <c r="BS7" s="114"/>
      <c r="BT7" s="114"/>
      <c r="BU7" s="115">
        <f t="shared" si="12"/>
        <v>0</v>
      </c>
      <c r="BV7" s="114"/>
      <c r="BW7" s="114">
        <v>30</v>
      </c>
      <c r="BX7" s="114">
        <v>47</v>
      </c>
      <c r="BY7" s="115">
        <f t="shared" si="13"/>
        <v>77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>
        <v>30</v>
      </c>
      <c r="CR7" s="191">
        <v>31</v>
      </c>
      <c r="CS7" s="194">
        <f t="shared" si="18"/>
        <v>61</v>
      </c>
      <c r="CT7" s="193"/>
      <c r="CU7" s="114"/>
      <c r="CV7" s="114"/>
      <c r="CW7" s="115">
        <f t="shared" si="19"/>
        <v>0</v>
      </c>
      <c r="CX7" s="114"/>
      <c r="CY7" s="114">
        <v>30</v>
      </c>
      <c r="CZ7" s="114">
        <v>47</v>
      </c>
      <c r="DA7" s="115">
        <f t="shared" si="20"/>
        <v>77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746</v>
      </c>
      <c r="DQ7" s="129">
        <f t="shared" si="27"/>
        <v>0.67818181818181822</v>
      </c>
      <c r="DS7" s="110" t="str">
        <f>IFERROR(RANK(DQ7,$DQ$6:$DQ$70)&amp;LOOKUP(RANK(DQ7,$DQ$6:$DQ$70),{1,2,3,4;"st","nd","rd","th"}),"-")</f>
        <v>4th</v>
      </c>
      <c r="DU7"/>
      <c r="DW7"/>
    </row>
    <row r="8" spans="1:127" ht="18.5">
      <c r="A8" s="178">
        <v>3</v>
      </c>
      <c r="B8" s="189" t="s">
        <v>111</v>
      </c>
      <c r="C8" s="179">
        <v>136</v>
      </c>
      <c r="D8" s="34">
        <v>136</v>
      </c>
      <c r="E8" s="35">
        <v>0</v>
      </c>
      <c r="F8"/>
      <c r="G8" s="34">
        <v>4</v>
      </c>
      <c r="H8" s="34">
        <v>4</v>
      </c>
      <c r="I8" s="34">
        <v>4</v>
      </c>
      <c r="J8" s="34">
        <v>4</v>
      </c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>
        <v>15</v>
      </c>
      <c r="T8" s="114">
        <v>30</v>
      </c>
      <c r="U8" s="115">
        <f t="shared" si="24"/>
        <v>45</v>
      </c>
      <c r="V8" s="116"/>
      <c r="W8" s="114">
        <v>39</v>
      </c>
      <c r="X8" s="114">
        <v>43</v>
      </c>
      <c r="Y8" s="115">
        <f t="shared" si="1"/>
        <v>82</v>
      </c>
      <c r="Z8" s="116"/>
      <c r="AA8" s="114">
        <v>33</v>
      </c>
      <c r="AB8" s="114">
        <v>38</v>
      </c>
      <c r="AC8" s="115">
        <f t="shared" si="2"/>
        <v>71</v>
      </c>
      <c r="AD8" s="114"/>
      <c r="AE8" s="114">
        <v>32</v>
      </c>
      <c r="AF8" s="114">
        <v>40</v>
      </c>
      <c r="AG8" s="115">
        <f t="shared" si="3"/>
        <v>72</v>
      </c>
      <c r="AH8" s="116"/>
      <c r="AI8" s="114"/>
      <c r="AJ8" s="114"/>
      <c r="AK8" s="115">
        <f t="shared" si="4"/>
        <v>0</v>
      </c>
      <c r="AL8" s="116"/>
      <c r="AM8" s="114">
        <v>30</v>
      </c>
      <c r="AN8" s="114">
        <v>51</v>
      </c>
      <c r="AO8" s="115">
        <f t="shared" si="5"/>
        <v>81</v>
      </c>
      <c r="AP8" s="116"/>
      <c r="AQ8" s="114">
        <v>37</v>
      </c>
      <c r="AR8" s="114">
        <v>45</v>
      </c>
      <c r="AS8" s="115">
        <f t="shared" si="6"/>
        <v>82</v>
      </c>
      <c r="AT8" s="114"/>
      <c r="AU8" s="114">
        <v>39</v>
      </c>
      <c r="AV8" s="114">
        <v>43</v>
      </c>
      <c r="AW8" s="117">
        <f t="shared" si="25"/>
        <v>82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>
        <v>22</v>
      </c>
      <c r="BH8" s="114">
        <v>32</v>
      </c>
      <c r="BI8" s="115">
        <f t="shared" si="9"/>
        <v>54</v>
      </c>
      <c r="BJ8" s="114"/>
      <c r="BK8" s="114"/>
      <c r="BL8" s="114"/>
      <c r="BM8" s="115">
        <f t="shared" si="10"/>
        <v>0</v>
      </c>
      <c r="BN8" s="114"/>
      <c r="BO8" s="114">
        <v>31</v>
      </c>
      <c r="BP8" s="192">
        <v>32</v>
      </c>
      <c r="BQ8" s="194">
        <f t="shared" si="11"/>
        <v>63</v>
      </c>
      <c r="BR8" s="193"/>
      <c r="BS8" s="114"/>
      <c r="BT8" s="114"/>
      <c r="BU8" s="115">
        <f t="shared" si="12"/>
        <v>0</v>
      </c>
      <c r="BV8" s="114"/>
      <c r="BW8" s="114"/>
      <c r="BX8" s="114"/>
      <c r="BY8" s="115">
        <f t="shared" si="13"/>
        <v>0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>
        <v>31</v>
      </c>
      <c r="CR8" s="192">
        <v>32</v>
      </c>
      <c r="CS8" s="194">
        <f t="shared" si="18"/>
        <v>63</v>
      </c>
      <c r="CT8" s="193"/>
      <c r="CU8" s="114"/>
      <c r="CV8" s="114"/>
      <c r="CW8" s="115">
        <f t="shared" si="19"/>
        <v>0</v>
      </c>
      <c r="CX8" s="114"/>
      <c r="CY8" s="114"/>
      <c r="CZ8" s="114"/>
      <c r="DA8" s="115">
        <f t="shared" si="20"/>
        <v>0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695</v>
      </c>
      <c r="DQ8" s="129">
        <f t="shared" si="27"/>
        <v>0.69499999999999995</v>
      </c>
      <c r="DS8" s="110" t="str">
        <f>IFERROR(RANK(DQ8,$DQ$6:$DQ$70)&amp;LOOKUP(RANK(DQ8,$DQ$6:$DQ$70),{1,2,3,4;"st","nd","rd","th"}),"-")</f>
        <v>2nd</v>
      </c>
      <c r="DU8"/>
      <c r="DW8"/>
    </row>
    <row r="9" spans="1:127" ht="18.5">
      <c r="A9" s="178">
        <v>4</v>
      </c>
      <c r="B9" s="189" t="s">
        <v>112</v>
      </c>
      <c r="C9" s="34">
        <v>136</v>
      </c>
      <c r="D9" s="34">
        <v>80</v>
      </c>
      <c r="E9" s="35">
        <v>56</v>
      </c>
      <c r="F9"/>
      <c r="G9" s="34">
        <v>4</v>
      </c>
      <c r="H9" s="34">
        <v>4</v>
      </c>
      <c r="I9" s="34">
        <v>4</v>
      </c>
      <c r="J9" s="34">
        <v>4</v>
      </c>
      <c r="K9" s="5"/>
      <c r="L9" s="36">
        <v>4</v>
      </c>
      <c r="M9" s="36">
        <v>4</v>
      </c>
      <c r="N9" s="36">
        <v>4</v>
      </c>
      <c r="O9" s="36">
        <v>4</v>
      </c>
      <c r="P9" s="36">
        <v>4</v>
      </c>
      <c r="Q9" s="36">
        <v>4</v>
      </c>
      <c r="R9" s="5"/>
      <c r="S9" s="114">
        <v>15</v>
      </c>
      <c r="T9" s="114">
        <v>30</v>
      </c>
      <c r="U9" s="115">
        <f t="shared" si="24"/>
        <v>45</v>
      </c>
      <c r="V9" s="116"/>
      <c r="W9" s="114">
        <v>35</v>
      </c>
      <c r="X9" s="114">
        <v>43</v>
      </c>
      <c r="Y9" s="115">
        <f t="shared" si="1"/>
        <v>78</v>
      </c>
      <c r="Z9" s="116"/>
      <c r="AA9" s="114">
        <v>32</v>
      </c>
      <c r="AB9" s="114">
        <v>30</v>
      </c>
      <c r="AC9" s="115">
        <f t="shared" si="2"/>
        <v>62</v>
      </c>
      <c r="AD9" s="114"/>
      <c r="AE9" s="114">
        <v>10</v>
      </c>
      <c r="AF9" s="114">
        <v>24</v>
      </c>
      <c r="AG9" s="115">
        <f t="shared" si="3"/>
        <v>34</v>
      </c>
      <c r="AH9" s="116"/>
      <c r="AI9" s="114"/>
      <c r="AJ9" s="114"/>
      <c r="AK9" s="115">
        <f t="shared" si="4"/>
        <v>0</v>
      </c>
      <c r="AL9" s="116"/>
      <c r="AM9" s="114">
        <v>28</v>
      </c>
      <c r="AN9" s="114">
        <v>45</v>
      </c>
      <c r="AO9" s="115">
        <f t="shared" si="5"/>
        <v>73</v>
      </c>
      <c r="AP9" s="116"/>
      <c r="AQ9" s="114"/>
      <c r="AR9" s="114"/>
      <c r="AS9" s="115">
        <f t="shared" si="6"/>
        <v>0</v>
      </c>
      <c r="AT9" s="114"/>
      <c r="AU9" s="114">
        <v>35</v>
      </c>
      <c r="AV9" s="114">
        <v>43</v>
      </c>
      <c r="AW9" s="117">
        <f t="shared" si="25"/>
        <v>78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/>
      <c r="BH9" s="114"/>
      <c r="BI9" s="115">
        <f t="shared" si="9"/>
        <v>0</v>
      </c>
      <c r="BJ9" s="114"/>
      <c r="BK9" s="114"/>
      <c r="BL9" s="114"/>
      <c r="BM9" s="115">
        <f t="shared" si="10"/>
        <v>0</v>
      </c>
      <c r="BN9" s="114"/>
      <c r="BO9" s="114">
        <v>29</v>
      </c>
      <c r="BP9" s="192">
        <v>30</v>
      </c>
      <c r="BQ9" s="194">
        <f t="shared" si="11"/>
        <v>59</v>
      </c>
      <c r="BR9" s="193"/>
      <c r="BS9" s="114"/>
      <c r="BT9" s="114"/>
      <c r="BU9" s="115">
        <f t="shared" si="12"/>
        <v>0</v>
      </c>
      <c r="BV9" s="114"/>
      <c r="BW9" s="114">
        <v>35</v>
      </c>
      <c r="BX9" s="114">
        <v>53</v>
      </c>
      <c r="BY9" s="115">
        <f t="shared" si="13"/>
        <v>88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>
        <v>29</v>
      </c>
      <c r="CR9" s="192">
        <v>30</v>
      </c>
      <c r="CS9" s="194">
        <f t="shared" si="18"/>
        <v>59</v>
      </c>
      <c r="CT9" s="193"/>
      <c r="CU9" s="114"/>
      <c r="CV9" s="114"/>
      <c r="CW9" s="115">
        <f t="shared" si="19"/>
        <v>0</v>
      </c>
      <c r="CX9" s="114"/>
      <c r="CY9" s="114">
        <v>35</v>
      </c>
      <c r="CZ9" s="114">
        <v>53</v>
      </c>
      <c r="DA9" s="115">
        <f t="shared" si="20"/>
        <v>88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664</v>
      </c>
      <c r="DQ9" s="129">
        <f t="shared" si="27"/>
        <v>0.66400000000000003</v>
      </c>
      <c r="DS9" s="110" t="str">
        <f>IFERROR(RANK(DQ9,$DQ$6:$DQ$70)&amp;LOOKUP(RANK(DQ9,$DQ$6:$DQ$70),{1,2,3,4;"st","nd","rd","th"}),"-")</f>
        <v>5th</v>
      </c>
      <c r="DU9"/>
      <c r="DW9"/>
    </row>
    <row r="10" spans="1:127" ht="18.5">
      <c r="A10" s="178">
        <v>5</v>
      </c>
      <c r="B10" s="190" t="s">
        <v>113</v>
      </c>
      <c r="C10" s="179">
        <v>136</v>
      </c>
      <c r="D10" s="34">
        <v>136</v>
      </c>
      <c r="E10" s="35">
        <v>0</v>
      </c>
      <c r="F10"/>
      <c r="G10" s="34">
        <v>4</v>
      </c>
      <c r="H10" s="34">
        <v>4</v>
      </c>
      <c r="I10" s="34">
        <v>4</v>
      </c>
      <c r="J10" s="34">
        <v>4</v>
      </c>
      <c r="K10" s="5"/>
      <c r="L10" s="36">
        <v>4</v>
      </c>
      <c r="M10" s="36">
        <v>4</v>
      </c>
      <c r="N10" s="36">
        <v>4</v>
      </c>
      <c r="O10" s="36">
        <v>4</v>
      </c>
      <c r="P10" s="36">
        <v>4</v>
      </c>
      <c r="Q10" s="36">
        <v>4</v>
      </c>
      <c r="R10" s="5"/>
      <c r="S10" s="114">
        <v>15</v>
      </c>
      <c r="T10" s="114">
        <v>30</v>
      </c>
      <c r="U10" s="115">
        <f t="shared" si="24"/>
        <v>45</v>
      </c>
      <c r="V10" s="116"/>
      <c r="W10" s="114">
        <v>40</v>
      </c>
      <c r="X10" s="114">
        <v>50</v>
      </c>
      <c r="Y10" s="115">
        <f t="shared" si="1"/>
        <v>90</v>
      </c>
      <c r="Z10" s="116"/>
      <c r="AA10" s="114">
        <v>34</v>
      </c>
      <c r="AB10" s="114">
        <v>45</v>
      </c>
      <c r="AC10" s="115">
        <f t="shared" si="2"/>
        <v>79</v>
      </c>
      <c r="AD10" s="114"/>
      <c r="AE10" s="114">
        <v>25</v>
      </c>
      <c r="AF10" s="114">
        <v>38</v>
      </c>
      <c r="AG10" s="115">
        <f t="shared" si="3"/>
        <v>63</v>
      </c>
      <c r="AH10" s="116"/>
      <c r="AI10" s="114"/>
      <c r="AJ10" s="114"/>
      <c r="AK10" s="115">
        <f t="shared" si="4"/>
        <v>0</v>
      </c>
      <c r="AL10" s="116"/>
      <c r="AM10" s="114">
        <v>32</v>
      </c>
      <c r="AN10" s="114">
        <v>52</v>
      </c>
      <c r="AO10" s="115">
        <f t="shared" si="5"/>
        <v>84</v>
      </c>
      <c r="AP10" s="116"/>
      <c r="AQ10" s="114"/>
      <c r="AR10" s="114"/>
      <c r="AS10" s="115">
        <f t="shared" si="6"/>
        <v>0</v>
      </c>
      <c r="AT10" s="114"/>
      <c r="AU10" s="114">
        <v>40</v>
      </c>
      <c r="AV10" s="114">
        <v>50</v>
      </c>
      <c r="AW10" s="117">
        <f t="shared" si="25"/>
        <v>90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/>
      <c r="BH10" s="114"/>
      <c r="BI10" s="115">
        <f t="shared" si="9"/>
        <v>0</v>
      </c>
      <c r="BJ10" s="114"/>
      <c r="BK10" s="114"/>
      <c r="BL10" s="114"/>
      <c r="BM10" s="115">
        <f t="shared" si="10"/>
        <v>0</v>
      </c>
      <c r="BN10" s="114"/>
      <c r="BO10" s="114">
        <v>33</v>
      </c>
      <c r="BP10" s="192">
        <v>34</v>
      </c>
      <c r="BQ10" s="194">
        <f t="shared" si="11"/>
        <v>67</v>
      </c>
      <c r="BR10" s="193"/>
      <c r="BS10" s="114"/>
      <c r="BT10" s="114"/>
      <c r="BU10" s="115">
        <f t="shared" si="12"/>
        <v>0</v>
      </c>
      <c r="BV10" s="114"/>
      <c r="BW10" s="114">
        <v>35</v>
      </c>
      <c r="BX10" s="114">
        <v>35</v>
      </c>
      <c r="BY10" s="115">
        <f t="shared" si="13"/>
        <v>70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>
        <v>33</v>
      </c>
      <c r="CR10" s="192">
        <v>34</v>
      </c>
      <c r="CS10" s="194">
        <f t="shared" si="18"/>
        <v>67</v>
      </c>
      <c r="CT10" s="193"/>
      <c r="CU10" s="114"/>
      <c r="CV10" s="114"/>
      <c r="CW10" s="115">
        <f t="shared" si="19"/>
        <v>0</v>
      </c>
      <c r="CX10" s="114"/>
      <c r="CY10" s="114">
        <v>35</v>
      </c>
      <c r="CZ10" s="114">
        <v>35</v>
      </c>
      <c r="DA10" s="115">
        <f t="shared" si="20"/>
        <v>70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725</v>
      </c>
      <c r="DQ10" s="129">
        <f t="shared" si="27"/>
        <v>0.72499999999999998</v>
      </c>
      <c r="DS10" s="110" t="str">
        <f>IFERROR(RANK(DQ10,$DQ$6:$DQ$70)&amp;LOOKUP(RANK(DQ10,$DQ$6:$DQ$70),{1,2,3,4;"st","nd","rd","th"}),"-")</f>
        <v>1st</v>
      </c>
      <c r="DU10"/>
      <c r="DW10"/>
    </row>
    <row r="11" spans="1:127" ht="18.5">
      <c r="A11" s="178">
        <v>6</v>
      </c>
      <c r="B11" s="190" t="s">
        <v>114</v>
      </c>
      <c r="C11" s="179">
        <v>136</v>
      </c>
      <c r="D11" s="34">
        <v>130</v>
      </c>
      <c r="E11" s="35">
        <v>6</v>
      </c>
      <c r="F11"/>
      <c r="G11" s="34">
        <v>4</v>
      </c>
      <c r="H11" s="34">
        <v>4</v>
      </c>
      <c r="I11" s="34">
        <v>4</v>
      </c>
      <c r="J11" s="34">
        <v>4</v>
      </c>
      <c r="K11" s="5"/>
      <c r="L11" s="36">
        <v>4</v>
      </c>
      <c r="M11" s="36">
        <v>4</v>
      </c>
      <c r="N11" s="36">
        <v>4</v>
      </c>
      <c r="O11" s="36">
        <v>4</v>
      </c>
      <c r="P11" s="36">
        <v>4</v>
      </c>
      <c r="Q11" s="36">
        <v>4</v>
      </c>
      <c r="R11" s="5"/>
      <c r="S11" s="114">
        <v>15</v>
      </c>
      <c r="T11" s="114">
        <v>29</v>
      </c>
      <c r="U11" s="115">
        <f t="shared" si="24"/>
        <v>44</v>
      </c>
      <c r="V11" s="116"/>
      <c r="W11" s="114">
        <v>38</v>
      </c>
      <c r="X11" s="114">
        <v>36</v>
      </c>
      <c r="Y11" s="115">
        <f t="shared" si="1"/>
        <v>74</v>
      </c>
      <c r="Z11" s="116"/>
      <c r="AA11" s="114">
        <v>29</v>
      </c>
      <c r="AB11" s="114">
        <v>25</v>
      </c>
      <c r="AC11" s="115">
        <f t="shared" si="2"/>
        <v>54</v>
      </c>
      <c r="AD11" s="114"/>
      <c r="AE11" s="114">
        <v>20</v>
      </c>
      <c r="AF11" s="114"/>
      <c r="AG11" s="115">
        <f t="shared" si="3"/>
        <v>20</v>
      </c>
      <c r="AH11" s="116"/>
      <c r="AI11" s="114"/>
      <c r="AJ11" s="114"/>
      <c r="AK11" s="115">
        <f t="shared" si="4"/>
        <v>0</v>
      </c>
      <c r="AL11" s="116"/>
      <c r="AM11" s="114">
        <v>29</v>
      </c>
      <c r="AN11" s="114">
        <v>47</v>
      </c>
      <c r="AO11" s="115">
        <f t="shared" si="5"/>
        <v>76</v>
      </c>
      <c r="AP11" s="116"/>
      <c r="AQ11" s="114"/>
      <c r="AR11" s="114"/>
      <c r="AS11" s="115">
        <f t="shared" si="6"/>
        <v>0</v>
      </c>
      <c r="AT11" s="114"/>
      <c r="AU11" s="114">
        <v>38</v>
      </c>
      <c r="AV11" s="114">
        <v>36</v>
      </c>
      <c r="AW11" s="117">
        <f t="shared" si="25"/>
        <v>74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/>
      <c r="BH11" s="114"/>
      <c r="BI11" s="115">
        <f t="shared" si="9"/>
        <v>0</v>
      </c>
      <c r="BJ11" s="114"/>
      <c r="BK11" s="114"/>
      <c r="BL11" s="114"/>
      <c r="BM11" s="115">
        <f t="shared" si="10"/>
        <v>0</v>
      </c>
      <c r="BN11" s="114"/>
      <c r="BO11" s="114">
        <v>25</v>
      </c>
      <c r="BP11" s="192">
        <v>22</v>
      </c>
      <c r="BQ11" s="194">
        <f t="shared" si="11"/>
        <v>47</v>
      </c>
      <c r="BR11" s="193"/>
      <c r="BS11" s="114"/>
      <c r="BT11" s="114"/>
      <c r="BU11" s="115">
        <f t="shared" si="12"/>
        <v>0</v>
      </c>
      <c r="BV11" s="114"/>
      <c r="BW11" s="114">
        <v>35</v>
      </c>
      <c r="BX11" s="114">
        <v>40</v>
      </c>
      <c r="BY11" s="115">
        <f t="shared" si="13"/>
        <v>75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>
        <v>25</v>
      </c>
      <c r="CR11" s="192">
        <v>22</v>
      </c>
      <c r="CS11" s="194">
        <f t="shared" si="18"/>
        <v>47</v>
      </c>
      <c r="CT11" s="193"/>
      <c r="CU11" s="114"/>
      <c r="CV11" s="114"/>
      <c r="CW11" s="115">
        <f t="shared" si="19"/>
        <v>0</v>
      </c>
      <c r="CX11" s="114"/>
      <c r="CY11" s="114">
        <v>35</v>
      </c>
      <c r="CZ11" s="114">
        <v>40</v>
      </c>
      <c r="DA11" s="115">
        <f t="shared" si="20"/>
        <v>75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586</v>
      </c>
      <c r="DQ11" s="129">
        <f t="shared" si="27"/>
        <v>0.58599999999999997</v>
      </c>
      <c r="DS11" s="110" t="str">
        <f>IFERROR(RANK(DQ11,$DQ$6:$DQ$70)&amp;LOOKUP(RANK(DQ11,$DQ$6:$DQ$70),{1,2,3,4;"st","nd","rd","th"}),"-")</f>
        <v>7th</v>
      </c>
      <c r="DU11"/>
      <c r="DW11"/>
    </row>
    <row r="12" spans="1:127" ht="18.5">
      <c r="A12" s="75">
        <v>7</v>
      </c>
      <c r="B12" s="190" t="s">
        <v>115</v>
      </c>
      <c r="C12" s="33">
        <v>136</v>
      </c>
      <c r="D12" s="34">
        <v>136</v>
      </c>
      <c r="E12" s="35">
        <v>0</v>
      </c>
      <c r="F12"/>
      <c r="G12" s="34">
        <v>4</v>
      </c>
      <c r="H12" s="34">
        <v>4</v>
      </c>
      <c r="I12" s="34">
        <v>3</v>
      </c>
      <c r="J12" s="34">
        <v>4</v>
      </c>
      <c r="K12" s="5"/>
      <c r="L12" s="36">
        <v>4</v>
      </c>
      <c r="M12" s="36">
        <v>4</v>
      </c>
      <c r="N12" s="36">
        <v>4</v>
      </c>
      <c r="O12" s="36">
        <v>4</v>
      </c>
      <c r="P12" s="36">
        <v>4</v>
      </c>
      <c r="Q12" s="36">
        <v>4</v>
      </c>
      <c r="R12" s="5"/>
      <c r="S12" s="114">
        <v>15</v>
      </c>
      <c r="T12" s="114">
        <v>34</v>
      </c>
      <c r="U12" s="115">
        <f t="shared" si="24"/>
        <v>49</v>
      </c>
      <c r="V12" s="116"/>
      <c r="W12" s="114">
        <v>40</v>
      </c>
      <c r="X12" s="114">
        <v>47</v>
      </c>
      <c r="Y12" s="115">
        <f t="shared" si="1"/>
        <v>87</v>
      </c>
      <c r="Z12" s="116"/>
      <c r="AA12" s="114">
        <v>35</v>
      </c>
      <c r="AB12" s="114">
        <v>40</v>
      </c>
      <c r="AC12" s="115">
        <f t="shared" si="2"/>
        <v>75</v>
      </c>
      <c r="AD12" s="114"/>
      <c r="AE12" s="114">
        <v>28</v>
      </c>
      <c r="AF12" s="114"/>
      <c r="AG12" s="115">
        <f t="shared" si="3"/>
        <v>28</v>
      </c>
      <c r="AH12" s="116"/>
      <c r="AI12" s="114"/>
      <c r="AJ12" s="114"/>
      <c r="AK12" s="115">
        <f t="shared" si="4"/>
        <v>0</v>
      </c>
      <c r="AL12" s="116"/>
      <c r="AM12" s="114">
        <v>38</v>
      </c>
      <c r="AN12" s="114">
        <v>50</v>
      </c>
      <c r="AO12" s="115">
        <f t="shared" si="5"/>
        <v>88</v>
      </c>
      <c r="AP12" s="116"/>
      <c r="AQ12" s="114"/>
      <c r="AR12" s="114"/>
      <c r="AS12" s="115">
        <f t="shared" si="6"/>
        <v>0</v>
      </c>
      <c r="AT12" s="114"/>
      <c r="AU12" s="114">
        <v>40</v>
      </c>
      <c r="AV12" s="114">
        <v>47</v>
      </c>
      <c r="AW12" s="117">
        <f t="shared" si="25"/>
        <v>87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>
        <v>33</v>
      </c>
      <c r="BP12" s="192">
        <v>32</v>
      </c>
      <c r="BQ12" s="194">
        <f t="shared" si="11"/>
        <v>65</v>
      </c>
      <c r="BR12" s="193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>
        <v>33</v>
      </c>
      <c r="CR12" s="192">
        <v>32</v>
      </c>
      <c r="CS12" s="194">
        <f t="shared" si="18"/>
        <v>65</v>
      </c>
      <c r="CT12" s="193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544</v>
      </c>
      <c r="DQ12" s="129">
        <f t="shared" si="27"/>
        <v>0.68</v>
      </c>
      <c r="DS12" s="110" t="str">
        <f>IFERROR(RANK(DQ12,$DQ$6:$DQ$70)&amp;LOOKUP(RANK(DQ12,$DQ$6:$DQ$70),{1,2,3,4;"st","nd","rd","th"}),"-")</f>
        <v>3rd</v>
      </c>
      <c r="DU12"/>
      <c r="DW12"/>
    </row>
    <row r="13" spans="1:127">
      <c r="A13" s="75">
        <v>8</v>
      </c>
      <c r="B13" s="74" t="s">
        <v>116</v>
      </c>
      <c r="C13" s="33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>
        <v>4</v>
      </c>
      <c r="R13" s="5"/>
      <c r="S13" s="114"/>
      <c r="T13" s="114"/>
      <c r="U13" s="115">
        <f t="shared" ref="U13:U69" si="28">S13+T13</f>
        <v>0</v>
      </c>
      <c r="V13" s="116"/>
      <c r="W13" s="114"/>
      <c r="X13" s="114"/>
      <c r="Y13" s="115">
        <f t="shared" si="1"/>
        <v>0</v>
      </c>
      <c r="Z13" s="116"/>
      <c r="AA13" s="114"/>
      <c r="AB13" s="114"/>
      <c r="AC13" s="115">
        <f t="shared" si="2"/>
        <v>0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ref="AW13:AW37" si="29">SUM(AU13:AV13)</f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/>
      <c r="BH13" s="114"/>
      <c r="BI13" s="115">
        <f t="shared" si="9"/>
        <v>0</v>
      </c>
      <c r="BJ13" s="114"/>
      <c r="BK13" s="114"/>
      <c r="BL13" s="114"/>
      <c r="BM13" s="115">
        <f t="shared" si="10"/>
        <v>0</v>
      </c>
      <c r="BN13" s="114"/>
      <c r="BO13" s="114"/>
      <c r="BP13" s="192"/>
      <c r="BQ13" s="194">
        <f t="shared" si="11"/>
        <v>0</v>
      </c>
      <c r="BR13" s="193"/>
      <c r="BS13" s="114"/>
      <c r="BT13" s="114"/>
      <c r="BU13" s="115">
        <f t="shared" si="12"/>
        <v>0</v>
      </c>
      <c r="BV13" s="114"/>
      <c r="BW13" s="114"/>
      <c r="BX13" s="114"/>
      <c r="BY13" s="115">
        <f t="shared" si="13"/>
        <v>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/>
      <c r="CR13" s="192"/>
      <c r="CS13" s="194">
        <f t="shared" si="18"/>
        <v>0</v>
      </c>
      <c r="CT13" s="193"/>
      <c r="CU13" s="114"/>
      <c r="CV13" s="114"/>
      <c r="CW13" s="115">
        <f t="shared" si="19"/>
        <v>0</v>
      </c>
      <c r="CX13" s="114"/>
      <c r="CY13" s="114"/>
      <c r="CZ13" s="114"/>
      <c r="DA13" s="115">
        <f t="shared" si="20"/>
        <v>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0</v>
      </c>
      <c r="DQ13" s="129" t="str">
        <f t="shared" si="27"/>
        <v>-</v>
      </c>
      <c r="DS13" s="110" t="str">
        <f>IFERROR(RANK(DQ13,$DQ$6:$DQ$70)&amp;LOOKUP(RANK(DQ13,$DQ$6:$DQ$70),{1,2,3,4;"st","nd","rd","th"}),"-")</f>
        <v>-</v>
      </c>
      <c r="DU13"/>
      <c r="DW13"/>
    </row>
    <row r="14" spans="1:127">
      <c r="A14" s="75">
        <v>9</v>
      </c>
      <c r="B14" s="4" t="s">
        <v>117</v>
      </c>
      <c r="C14" s="33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8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9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92"/>
      <c r="BQ14" s="194">
        <f t="shared" si="11"/>
        <v>0</v>
      </c>
      <c r="BR14" s="193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92"/>
      <c r="CS14" s="194">
        <f t="shared" si="18"/>
        <v>0</v>
      </c>
      <c r="CT14" s="193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Q14" s="129" t="str">
        <f t="shared" si="27"/>
        <v>-</v>
      </c>
      <c r="DS14" s="110" t="str">
        <f>IFERROR(RANK(DQ14,$DQ$6:$DQ$70)&amp;LOOKUP(RANK(DQ14,$DQ$6:$DQ$70),{1,2,3,4;"st","nd","rd","th"}),"-")</f>
        <v>-</v>
      </c>
      <c r="DU14"/>
      <c r="DW14"/>
    </row>
    <row r="15" spans="1:127">
      <c r="A15" s="75">
        <v>10</v>
      </c>
      <c r="B15" s="74" t="s">
        <v>118</v>
      </c>
      <c r="C15" s="33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8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9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94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94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Q15" s="129" t="str">
        <f t="shared" si="27"/>
        <v>-</v>
      </c>
      <c r="DS15" s="110" t="str">
        <f>IFERROR(RANK(DQ15,$DQ$6:$DQ$70)&amp;LOOKUP(RANK(DQ15,$DQ$6:$DQ$70),{1,2,3,4;"st","nd","rd","th"}),"-")</f>
        <v>-</v>
      </c>
      <c r="DU15"/>
      <c r="DW15"/>
    </row>
    <row r="16" spans="1:127">
      <c r="A16" s="75">
        <v>11</v>
      </c>
      <c r="B16" s="74" t="s">
        <v>119</v>
      </c>
      <c r="C16" s="33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8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9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Q16" s="129" t="str">
        <f t="shared" si="27"/>
        <v>-</v>
      </c>
      <c r="DS16" s="110" t="str">
        <f>IFERROR(RANK(DQ16,$DQ$6:$DQ$70)&amp;LOOKUP(RANK(DQ16,$DQ$6:$DQ$70),{1,2,3,4;"st","nd","rd","th"}),"-")</f>
        <v>-</v>
      </c>
      <c r="DU16"/>
      <c r="DW16"/>
    </row>
    <row r="17" spans="1:127">
      <c r="A17" s="75">
        <v>12</v>
      </c>
      <c r="B17" s="74" t="s">
        <v>168</v>
      </c>
      <c r="C17" s="33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8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9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Q17" s="129" t="str">
        <f t="shared" si="27"/>
        <v>-</v>
      </c>
      <c r="DS17" s="110" t="str">
        <f>IFERROR(RANK(DQ17,$DQ$6:$DQ$70)&amp;LOOKUP(RANK(DQ17,$DQ$6:$DQ$70),{1,2,3,4;"st","nd","rd","th"}),"-")</f>
        <v>-</v>
      </c>
      <c r="DU17"/>
      <c r="DW17"/>
    </row>
    <row r="18" spans="1:127">
      <c r="A18" s="75">
        <v>13</v>
      </c>
      <c r="B18" s="74" t="s">
        <v>130</v>
      </c>
      <c r="C18" s="33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8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9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Q18" s="129" t="str">
        <f t="shared" si="27"/>
        <v>-</v>
      </c>
      <c r="DS18" s="110" t="str">
        <f>IFERROR(RANK(DQ18,$DQ$6:$DQ$70)&amp;LOOKUP(RANK(DQ18,$DQ$6:$DQ$70),{1,2,3,4;"st","nd","rd","th"}),"-")</f>
        <v>-</v>
      </c>
      <c r="DU18"/>
      <c r="DW18"/>
    </row>
    <row r="19" spans="1:127">
      <c r="A19" s="75">
        <v>14</v>
      </c>
      <c r="B19" s="74" t="s">
        <v>131</v>
      </c>
      <c r="C19" s="33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8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9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Q19" s="129" t="str">
        <f t="shared" si="27"/>
        <v>-</v>
      </c>
      <c r="DS19" s="110" t="str">
        <f>IFERROR(RANK(DQ19,$DQ$6:$DQ$70)&amp;LOOKUP(RANK(DQ19,$DQ$6:$DQ$70),{1,2,3,4;"st","nd","rd","th"}),"-")</f>
        <v>-</v>
      </c>
      <c r="DU19"/>
      <c r="DW19"/>
    </row>
    <row r="20" spans="1:127">
      <c r="A20" s="75">
        <v>15</v>
      </c>
      <c r="B20" s="74" t="s">
        <v>132</v>
      </c>
      <c r="C20" s="33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8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9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Q20" s="129" t="str">
        <f t="shared" si="27"/>
        <v>-</v>
      </c>
      <c r="DS20" s="110" t="str">
        <f>IFERROR(RANK(DQ20,$DQ$6:$DQ$70)&amp;LOOKUP(RANK(DQ20,$DQ$6:$DQ$70),{1,2,3,4;"st","nd","rd","th"}),"-")</f>
        <v>-</v>
      </c>
      <c r="DU20"/>
      <c r="DW20"/>
    </row>
    <row r="21" spans="1:127">
      <c r="A21" s="75">
        <v>16</v>
      </c>
      <c r="B21" s="74" t="s">
        <v>133</v>
      </c>
      <c r="C21" s="33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8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9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Q21" s="129" t="str">
        <f t="shared" si="27"/>
        <v>-</v>
      </c>
      <c r="DS21" s="110" t="str">
        <f>IFERROR(RANK(DQ21,$DQ$6:$DQ$70)&amp;LOOKUP(RANK(DQ21,$DQ$6:$DQ$70),{1,2,3,4;"st","nd","rd","th"}),"-")</f>
        <v>-</v>
      </c>
      <c r="DU21"/>
      <c r="DW21"/>
    </row>
    <row r="22" spans="1:127">
      <c r="A22" s="75">
        <v>17</v>
      </c>
      <c r="B22" s="74" t="s">
        <v>134</v>
      </c>
      <c r="C22" s="33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8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9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Q22" s="129" t="str">
        <f t="shared" si="27"/>
        <v>-</v>
      </c>
      <c r="DS22" s="110" t="str">
        <f>IFERROR(RANK(DQ22,$DQ$6:$DQ$70)&amp;LOOKUP(RANK(DQ22,$DQ$6:$DQ$70),{1,2,3,4;"st","nd","rd","th"}),"-")</f>
        <v>-</v>
      </c>
      <c r="DU22"/>
      <c r="DW22"/>
    </row>
    <row r="23" spans="1:127">
      <c r="A23" s="75">
        <v>18</v>
      </c>
      <c r="B23" s="74" t="s">
        <v>135</v>
      </c>
      <c r="C23" s="33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8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9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Q23" s="129" t="str">
        <f t="shared" si="27"/>
        <v>-</v>
      </c>
      <c r="DS23" s="110" t="str">
        <f>IFERROR(RANK(DQ23,$DQ$6:$DQ$70)&amp;LOOKUP(RANK(DQ23,$DQ$6:$DQ$70),{1,2,3,4;"st","nd","rd","th"}),"-")</f>
        <v>-</v>
      </c>
      <c r="DU23"/>
      <c r="DW23"/>
    </row>
    <row r="24" spans="1:127">
      <c r="A24" s="75">
        <v>19</v>
      </c>
      <c r="B24" s="74" t="s">
        <v>136</v>
      </c>
      <c r="C24" s="33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8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9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Q24" s="129" t="str">
        <f t="shared" si="27"/>
        <v>-</v>
      </c>
      <c r="DS24" s="110" t="str">
        <f>IFERROR(RANK(DQ24,$DQ$6:$DQ$70)&amp;LOOKUP(RANK(DQ24,$DQ$6:$DQ$70),{1,2,3,4;"st","nd","rd","th"}),"-")</f>
        <v>-</v>
      </c>
      <c r="DU24"/>
      <c r="DW24"/>
    </row>
    <row r="25" spans="1:127">
      <c r="A25" s="75">
        <v>20</v>
      </c>
      <c r="B25" s="74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8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9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Q25" s="129" t="str">
        <f t="shared" si="27"/>
        <v>-</v>
      </c>
      <c r="DS25" s="110" t="str">
        <f>IFERROR(RANK(DQ25,$DQ$6:$DQ$70)&amp;LOOKUP(RANK(DQ25,$DQ$6:$DQ$70),{1,2,3,4;"st","nd","rd","th"}),"-")</f>
        <v>-</v>
      </c>
      <c r="DU25"/>
      <c r="DW25"/>
    </row>
    <row r="26" spans="1:127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8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9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Q26" s="129" t="str">
        <f t="shared" si="27"/>
        <v>-</v>
      </c>
      <c r="DS26" s="110" t="str">
        <f>IFERROR(RANK(DQ26,$DQ$6:$DQ$70)&amp;LOOKUP(RANK(DQ26,$DQ$6:$DQ$70),{1,2,3,4;"st","nd","rd","th"}),"-")</f>
        <v>-</v>
      </c>
      <c r="DU26"/>
      <c r="DW26"/>
    </row>
    <row r="27" spans="1:127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8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9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Q27" s="129" t="str">
        <f t="shared" si="27"/>
        <v>-</v>
      </c>
      <c r="DS27" s="110" t="str">
        <f>IFERROR(RANK(DQ27,$DQ$6:$DQ$70)&amp;LOOKUP(RANK(DQ27,$DQ$6:$DQ$70),{1,2,3,4;"st","nd","rd","th"}),"-")</f>
        <v>-</v>
      </c>
      <c r="DU27"/>
      <c r="DW27"/>
    </row>
    <row r="28" spans="1:127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8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9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Q28" s="129" t="str">
        <f t="shared" si="27"/>
        <v>-</v>
      </c>
      <c r="DS28" s="110" t="str">
        <f>IFERROR(RANK(DQ28,$DQ$6:$DQ$70)&amp;LOOKUP(RANK(DQ28,$DQ$6:$DQ$70),{1,2,3,4;"st","nd","rd","th"}),"-")</f>
        <v>-</v>
      </c>
      <c r="DU28"/>
      <c r="DW28"/>
    </row>
    <row r="29" spans="1:127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8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9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Q29" s="129" t="str">
        <f t="shared" si="27"/>
        <v>-</v>
      </c>
      <c r="DS29" s="110" t="str">
        <f>IFERROR(RANK(DQ29,$DQ$6:$DQ$70)&amp;LOOKUP(RANK(DQ29,$DQ$6:$DQ$70),{1,2,3,4;"st","nd","rd","th"}),"-")</f>
        <v>-</v>
      </c>
      <c r="DU29"/>
      <c r="DW29"/>
    </row>
    <row r="30" spans="1:127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8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9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Q30" s="129" t="str">
        <f t="shared" si="27"/>
        <v>-</v>
      </c>
      <c r="DS30" s="110" t="str">
        <f>IFERROR(RANK(DQ30,$DQ$6:$DQ$70)&amp;LOOKUP(RANK(DQ30,$DQ$6:$DQ$70),{1,2,3,4;"st","nd","rd","th"}),"-")</f>
        <v>-</v>
      </c>
      <c r="DU30"/>
      <c r="DW30"/>
    </row>
    <row r="31" spans="1:127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8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9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Q31" s="129" t="str">
        <f t="shared" si="27"/>
        <v>-</v>
      </c>
      <c r="DS31" s="110" t="str">
        <f>IFERROR(RANK(DQ31,$DQ$6:$DQ$70)&amp;LOOKUP(RANK(DQ31,$DQ$6:$DQ$70),{1,2,3,4;"st","nd","rd","th"}),"-")</f>
        <v>-</v>
      </c>
      <c r="DU31"/>
      <c r="DW31"/>
    </row>
    <row r="32" spans="1:127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8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9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Q32" s="129" t="str">
        <f t="shared" si="27"/>
        <v>-</v>
      </c>
      <c r="DS32" s="110" t="str">
        <f>IFERROR(RANK(DQ32,$DQ$6:$DQ$70)&amp;LOOKUP(RANK(DQ32,$DQ$6:$DQ$70),{1,2,3,4;"st","nd","rd","th"}),"-")</f>
        <v>-</v>
      </c>
      <c r="DU32"/>
      <c r="DW32"/>
    </row>
    <row r="33" spans="1:127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8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9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Q33" s="129" t="str">
        <f t="shared" si="27"/>
        <v>-</v>
      </c>
      <c r="DS33" s="110" t="str">
        <f>IFERROR(RANK(DQ33,$DQ$6:$DQ$70)&amp;LOOKUP(RANK(DQ33,$DQ$6:$DQ$70),{1,2,3,4;"st","nd","rd","th"}),"-")</f>
        <v>-</v>
      </c>
      <c r="DU33"/>
      <c r="DW33"/>
    </row>
    <row r="34" spans="1:127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8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9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Q34" s="129" t="str">
        <f t="shared" si="27"/>
        <v>-</v>
      </c>
      <c r="DS34" s="110" t="str">
        <f>IFERROR(RANK(DQ34,$DQ$6:$DQ$70)&amp;LOOKUP(RANK(DQ34,$DQ$6:$DQ$70),{1,2,3,4;"st","nd","rd","th"}),"-")</f>
        <v>-</v>
      </c>
      <c r="DU34"/>
      <c r="DW34"/>
    </row>
    <row r="35" spans="1:127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8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9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Q35" s="129" t="str">
        <f t="shared" si="27"/>
        <v>-</v>
      </c>
      <c r="DS35" s="110" t="str">
        <f>IFERROR(RANK(DQ35,$DQ$6:$DQ$70)&amp;LOOKUP(RANK(DQ35,$DQ$6:$DQ$70),{1,2,3,4;"st","nd","rd","th"}),"-")</f>
        <v>-</v>
      </c>
      <c r="DU35"/>
      <c r="DW35"/>
    </row>
    <row r="36" spans="1:127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8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9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Q36" s="129" t="str">
        <f t="shared" si="27"/>
        <v>-</v>
      </c>
      <c r="DS36" s="110" t="str">
        <f>IFERROR(RANK(DQ36,$DQ$6:$DQ$70)&amp;LOOKUP(RANK(DQ36,$DQ$6:$DQ$70),{1,2,3,4;"st","nd","rd","th"}),"-")</f>
        <v>-</v>
      </c>
      <c r="DU36"/>
      <c r="DW36"/>
    </row>
    <row r="37" spans="1:127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8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9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si="22"/>
        <v>0</v>
      </c>
      <c r="DK37" s="114"/>
      <c r="DL37" s="114"/>
      <c r="DM37" s="115">
        <f t="shared" si="23"/>
        <v>0</v>
      </c>
      <c r="DO37" s="107">
        <f t="shared" si="26"/>
        <v>0</v>
      </c>
      <c r="DQ37" s="129" t="str">
        <f t="shared" si="27"/>
        <v>-</v>
      </c>
      <c r="DS37" s="110" t="str">
        <f>IFERROR(RANK(DQ37,$DQ$6:$DQ$70)&amp;LOOKUP(RANK(DQ37,$DQ$6:$DQ$70),{1,2,3,4;"st","nd","rd","th"}),"-")</f>
        <v>-</v>
      </c>
      <c r="DU37"/>
      <c r="DW37"/>
    </row>
    <row r="38" spans="1:127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8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69" si="30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2"/>
        <v>0</v>
      </c>
      <c r="DK38" s="114"/>
      <c r="DL38" s="114"/>
      <c r="DM38" s="115">
        <f t="shared" si="23"/>
        <v>0</v>
      </c>
      <c r="DO38" s="107">
        <f t="shared" ref="DO38:DO70" si="31">SUMIF($S$4:$DM$4,$DM$4,$S38:$DM38)</f>
        <v>0</v>
      </c>
      <c r="DQ38" s="129" t="str">
        <f t="shared" ref="DQ38:DQ70" si="32">IFERROR(DO38/(COUNTIFS($S38:$DM38,"&gt;0",$S$4:$DM$4,$DM$4)*100),"-")</f>
        <v>-</v>
      </c>
      <c r="DS38" s="110" t="str">
        <f>IFERROR(RANK(DQ38,$DQ$6:$DQ$70)&amp;LOOKUP(RANK(DQ38,$DQ$6:$DQ$70),{1,2,3,4;"st","nd","rd","th"}),"-")</f>
        <v>-</v>
      </c>
      <c r="DU38"/>
      <c r="DW38"/>
    </row>
    <row r="39" spans="1:127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8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30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2"/>
        <v>0</v>
      </c>
      <c r="DK39" s="114"/>
      <c r="DL39" s="114"/>
      <c r="DM39" s="115">
        <f t="shared" si="23"/>
        <v>0</v>
      </c>
      <c r="DO39" s="107">
        <f t="shared" si="31"/>
        <v>0</v>
      </c>
      <c r="DQ39" s="129" t="str">
        <f t="shared" si="32"/>
        <v>-</v>
      </c>
      <c r="DS39" s="110" t="str">
        <f>IFERROR(RANK(DQ39,$DQ$6:$DQ$70)&amp;LOOKUP(RANK(DQ39,$DQ$6:$DQ$70),{1,2,3,4;"st","nd","rd","th"}),"-")</f>
        <v>-</v>
      </c>
      <c r="DU39"/>
      <c r="DW39"/>
    </row>
    <row r="40" spans="1:127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8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30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2"/>
        <v>0</v>
      </c>
      <c r="DK40" s="114"/>
      <c r="DL40" s="114"/>
      <c r="DM40" s="115">
        <f t="shared" si="23"/>
        <v>0</v>
      </c>
      <c r="DO40" s="107">
        <f t="shared" si="31"/>
        <v>0</v>
      </c>
      <c r="DQ40" s="129" t="str">
        <f t="shared" si="32"/>
        <v>-</v>
      </c>
      <c r="DS40" s="110" t="str">
        <f>IFERROR(RANK(DQ40,$DQ$6:$DQ$70)&amp;LOOKUP(RANK(DQ40,$DQ$6:$DQ$70),{1,2,3,4;"st","nd","rd","th"}),"-")</f>
        <v>-</v>
      </c>
      <c r="DU40"/>
      <c r="DW40"/>
    </row>
    <row r="41" spans="1:127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8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30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2"/>
        <v>0</v>
      </c>
      <c r="DK41" s="114"/>
      <c r="DL41" s="114"/>
      <c r="DM41" s="115">
        <f t="shared" si="23"/>
        <v>0</v>
      </c>
      <c r="DO41" s="107">
        <f t="shared" si="31"/>
        <v>0</v>
      </c>
      <c r="DQ41" s="129" t="str">
        <f t="shared" si="32"/>
        <v>-</v>
      </c>
      <c r="DS41" s="110" t="str">
        <f>IFERROR(RANK(DQ41,$DQ$6:$DQ$70)&amp;LOOKUP(RANK(DQ41,$DQ$6:$DQ$70),{1,2,3,4;"st","nd","rd","th"}),"-")</f>
        <v>-</v>
      </c>
      <c r="DU41"/>
      <c r="DW41"/>
    </row>
    <row r="42" spans="1:127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8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30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2"/>
        <v>0</v>
      </c>
      <c r="DK42" s="114"/>
      <c r="DL42" s="114"/>
      <c r="DM42" s="115">
        <f t="shared" si="23"/>
        <v>0</v>
      </c>
      <c r="DO42" s="107">
        <f t="shared" si="31"/>
        <v>0</v>
      </c>
      <c r="DQ42" s="129" t="str">
        <f t="shared" si="32"/>
        <v>-</v>
      </c>
      <c r="DS42" s="110" t="str">
        <f>IFERROR(RANK(DQ42,$DQ$6:$DQ$70)&amp;LOOKUP(RANK(DQ42,$DQ$6:$DQ$70),{1,2,3,4;"st","nd","rd","th"}),"-")</f>
        <v>-</v>
      </c>
      <c r="DU42"/>
      <c r="DW42"/>
    </row>
    <row r="43" spans="1:127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8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30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2"/>
        <v>0</v>
      </c>
      <c r="DK43" s="114"/>
      <c r="DL43" s="114"/>
      <c r="DM43" s="115">
        <f t="shared" si="23"/>
        <v>0</v>
      </c>
      <c r="DO43" s="107">
        <f t="shared" si="31"/>
        <v>0</v>
      </c>
      <c r="DQ43" s="129" t="str">
        <f t="shared" si="32"/>
        <v>-</v>
      </c>
      <c r="DS43" s="110" t="str">
        <f>IFERROR(RANK(DQ43,$DQ$6:$DQ$70)&amp;LOOKUP(RANK(DQ43,$DQ$6:$DQ$70),{1,2,3,4;"st","nd","rd","th"}),"-")</f>
        <v>-</v>
      </c>
      <c r="DU43"/>
      <c r="DW43"/>
    </row>
    <row r="44" spans="1:127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8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30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2"/>
        <v>0</v>
      </c>
      <c r="DK44" s="114"/>
      <c r="DL44" s="114"/>
      <c r="DM44" s="115">
        <f t="shared" si="23"/>
        <v>0</v>
      </c>
      <c r="DO44" s="107">
        <f t="shared" si="31"/>
        <v>0</v>
      </c>
      <c r="DQ44" s="129" t="str">
        <f t="shared" si="32"/>
        <v>-</v>
      </c>
      <c r="DS44" s="110" t="str">
        <f>IFERROR(RANK(DQ44,$DQ$6:$DQ$70)&amp;LOOKUP(RANK(DQ44,$DQ$6:$DQ$70),{1,2,3,4;"st","nd","rd","th"}),"-")</f>
        <v>-</v>
      </c>
      <c r="DU44"/>
      <c r="DW44"/>
    </row>
    <row r="45" spans="1:127" ht="1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8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30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2"/>
        <v>0</v>
      </c>
      <c r="DK45" s="114"/>
      <c r="DL45" s="114"/>
      <c r="DM45" s="115">
        <f t="shared" si="23"/>
        <v>0</v>
      </c>
      <c r="DO45" s="107">
        <f t="shared" si="31"/>
        <v>0</v>
      </c>
      <c r="DQ45" s="129" t="str">
        <f t="shared" si="32"/>
        <v>-</v>
      </c>
      <c r="DS45" s="110" t="str">
        <f>IFERROR(RANK(DQ45,$DQ$6:$DQ$70)&amp;LOOKUP(RANK(DQ45,$DQ$6:$DQ$70),{1,2,3,4;"st","nd","rd","th"}),"-")</f>
        <v>-</v>
      </c>
      <c r="DU45"/>
      <c r="DW45"/>
    </row>
    <row r="46" spans="1:127" ht="1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8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30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2"/>
        <v>0</v>
      </c>
      <c r="DK46" s="114"/>
      <c r="DL46" s="114"/>
      <c r="DM46" s="115">
        <f t="shared" si="23"/>
        <v>0</v>
      </c>
      <c r="DO46" s="107">
        <f t="shared" si="31"/>
        <v>0</v>
      </c>
      <c r="DQ46" s="129" t="str">
        <f t="shared" si="32"/>
        <v>-</v>
      </c>
      <c r="DS46" s="110" t="str">
        <f>IFERROR(RANK(DQ46,$DQ$6:$DQ$70)&amp;LOOKUP(RANK(DQ46,$DQ$6:$DQ$70),{1,2,3,4;"st","nd","rd","th"}),"-")</f>
        <v>-</v>
      </c>
      <c r="DU46"/>
      <c r="DW46"/>
    </row>
    <row r="47" spans="1:127" ht="1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8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30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2"/>
        <v>0</v>
      </c>
      <c r="DK47" s="114"/>
      <c r="DL47" s="114"/>
      <c r="DM47" s="115">
        <f t="shared" si="23"/>
        <v>0</v>
      </c>
      <c r="DO47" s="107">
        <f t="shared" si="31"/>
        <v>0</v>
      </c>
      <c r="DQ47" s="129" t="str">
        <f t="shared" si="32"/>
        <v>-</v>
      </c>
      <c r="DS47" s="110" t="str">
        <f>IFERROR(RANK(DQ47,$DQ$6:$DQ$70)&amp;LOOKUP(RANK(DQ47,$DQ$6:$DQ$70),{1,2,3,4;"st","nd","rd","th"}),"-")</f>
        <v>-</v>
      </c>
      <c r="DU47"/>
      <c r="DW47"/>
    </row>
    <row r="48" spans="1:127" ht="1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8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30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2"/>
        <v>0</v>
      </c>
      <c r="DK48" s="114"/>
      <c r="DL48" s="114"/>
      <c r="DM48" s="115">
        <f t="shared" si="23"/>
        <v>0</v>
      </c>
      <c r="DO48" s="107">
        <f t="shared" si="31"/>
        <v>0</v>
      </c>
      <c r="DQ48" s="129" t="str">
        <f t="shared" si="32"/>
        <v>-</v>
      </c>
      <c r="DS48" s="110" t="str">
        <f>IFERROR(RANK(DQ48,$DQ$6:$DQ$70)&amp;LOOKUP(RANK(DQ48,$DQ$6:$DQ$70),{1,2,3,4;"st","nd","rd","th"}),"-")</f>
        <v>-</v>
      </c>
      <c r="DU48"/>
      <c r="DW48"/>
    </row>
    <row r="49" spans="1:127" ht="1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8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30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2"/>
        <v>0</v>
      </c>
      <c r="DK49" s="114"/>
      <c r="DL49" s="114"/>
      <c r="DM49" s="115">
        <f t="shared" si="23"/>
        <v>0</v>
      </c>
      <c r="DO49" s="107">
        <f t="shared" si="31"/>
        <v>0</v>
      </c>
      <c r="DQ49" s="129" t="str">
        <f t="shared" si="32"/>
        <v>-</v>
      </c>
      <c r="DS49" s="110" t="str">
        <f>IFERROR(RANK(DQ49,$DQ$6:$DQ$70)&amp;LOOKUP(RANK(DQ49,$DQ$6:$DQ$70),{1,2,3,4;"st","nd","rd","th"}),"-")</f>
        <v>-</v>
      </c>
      <c r="DU49"/>
      <c r="DW49"/>
    </row>
    <row r="50" spans="1:127" ht="1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8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30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2"/>
        <v>0</v>
      </c>
      <c r="DK50" s="114"/>
      <c r="DL50" s="114"/>
      <c r="DM50" s="115">
        <f t="shared" si="23"/>
        <v>0</v>
      </c>
      <c r="DO50" s="107">
        <f t="shared" si="31"/>
        <v>0</v>
      </c>
      <c r="DQ50" s="129" t="str">
        <f t="shared" si="32"/>
        <v>-</v>
      </c>
      <c r="DS50" s="110" t="str">
        <f>IFERROR(RANK(DQ50,$DQ$6:$DQ$70)&amp;LOOKUP(RANK(DQ50,$DQ$6:$DQ$70),{1,2,3,4;"st","nd","rd","th"}),"-")</f>
        <v>-</v>
      </c>
      <c r="DU50"/>
      <c r="DW50"/>
    </row>
    <row r="51" spans="1:127" ht="1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8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30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2"/>
        <v>0</v>
      </c>
      <c r="DK51" s="114"/>
      <c r="DL51" s="114"/>
      <c r="DM51" s="115">
        <f t="shared" si="23"/>
        <v>0</v>
      </c>
      <c r="DO51" s="107">
        <f t="shared" si="31"/>
        <v>0</v>
      </c>
      <c r="DQ51" s="129" t="str">
        <f t="shared" si="32"/>
        <v>-</v>
      </c>
      <c r="DS51" s="110" t="str">
        <f>IFERROR(RANK(DQ51,$DQ$6:$DQ$70)&amp;LOOKUP(RANK(DQ51,$DQ$6:$DQ$70),{1,2,3,4;"st","nd","rd","th"}),"-")</f>
        <v>-</v>
      </c>
      <c r="DU51"/>
      <c r="DW51"/>
    </row>
    <row r="52" spans="1:127" ht="1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8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30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2"/>
        <v>0</v>
      </c>
      <c r="DK52" s="114"/>
      <c r="DL52" s="114"/>
      <c r="DM52" s="115">
        <f t="shared" si="23"/>
        <v>0</v>
      </c>
      <c r="DO52" s="107">
        <f t="shared" si="31"/>
        <v>0</v>
      </c>
      <c r="DQ52" s="129" t="str">
        <f t="shared" si="32"/>
        <v>-</v>
      </c>
      <c r="DS52" s="110" t="str">
        <f>IFERROR(RANK(DQ52,$DQ$6:$DQ$70)&amp;LOOKUP(RANK(DQ52,$DQ$6:$DQ$70),{1,2,3,4;"st","nd","rd","th"}),"-")</f>
        <v>-</v>
      </c>
      <c r="DU52"/>
      <c r="DW52"/>
    </row>
    <row r="53" spans="1:127" ht="1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8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30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2"/>
        <v>0</v>
      </c>
      <c r="DK53" s="114"/>
      <c r="DL53" s="114"/>
      <c r="DM53" s="115">
        <f t="shared" si="23"/>
        <v>0</v>
      </c>
      <c r="DO53" s="107">
        <f t="shared" si="31"/>
        <v>0</v>
      </c>
      <c r="DQ53" s="129" t="str">
        <f t="shared" si="32"/>
        <v>-</v>
      </c>
      <c r="DS53" s="110" t="str">
        <f>IFERROR(RANK(DQ53,$DQ$6:$DQ$70)&amp;LOOKUP(RANK(DQ53,$DQ$6:$DQ$70),{1,2,3,4;"st","nd","rd","th"}),"-")</f>
        <v>-</v>
      </c>
      <c r="DU53"/>
      <c r="DW53"/>
    </row>
    <row r="54" spans="1:127" ht="1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8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30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2"/>
        <v>0</v>
      </c>
      <c r="DK54" s="114"/>
      <c r="DL54" s="114"/>
      <c r="DM54" s="115">
        <f t="shared" si="23"/>
        <v>0</v>
      </c>
      <c r="DO54" s="107">
        <f t="shared" si="31"/>
        <v>0</v>
      </c>
      <c r="DQ54" s="129" t="str">
        <f t="shared" si="32"/>
        <v>-</v>
      </c>
      <c r="DS54" s="110" t="str">
        <f>IFERROR(RANK(DQ54,$DQ$6:$DQ$70)&amp;LOOKUP(RANK(DQ54,$DQ$6:$DQ$70),{1,2,3,4;"st","nd","rd","th"}),"-")</f>
        <v>-</v>
      </c>
      <c r="DU54"/>
      <c r="DW54"/>
    </row>
    <row r="55" spans="1:127" ht="1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8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30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2"/>
        <v>0</v>
      </c>
      <c r="DK55" s="114"/>
      <c r="DL55" s="114"/>
      <c r="DM55" s="115">
        <f t="shared" si="23"/>
        <v>0</v>
      </c>
      <c r="DO55" s="107">
        <f t="shared" si="31"/>
        <v>0</v>
      </c>
      <c r="DQ55" s="129" t="str">
        <f t="shared" si="32"/>
        <v>-</v>
      </c>
      <c r="DS55" s="110" t="str">
        <f>IFERROR(RANK(DQ55,$DQ$6:$DQ$70)&amp;LOOKUP(RANK(DQ55,$DQ$6:$DQ$70),{1,2,3,4;"st","nd","rd","th"}),"-")</f>
        <v>-</v>
      </c>
      <c r="DU55"/>
      <c r="DW55"/>
    </row>
    <row r="56" spans="1:127" ht="1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8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30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2"/>
        <v>0</v>
      </c>
      <c r="DK56" s="114"/>
      <c r="DL56" s="114"/>
      <c r="DM56" s="115">
        <f t="shared" si="23"/>
        <v>0</v>
      </c>
      <c r="DO56" s="107">
        <f t="shared" si="31"/>
        <v>0</v>
      </c>
      <c r="DQ56" s="129" t="str">
        <f t="shared" si="32"/>
        <v>-</v>
      </c>
      <c r="DS56" s="110" t="str">
        <f>IFERROR(RANK(DQ56,$DQ$6:$DQ$70)&amp;LOOKUP(RANK(DQ56,$DQ$6:$DQ$70),{1,2,3,4;"st","nd","rd","th"}),"-")</f>
        <v>-</v>
      </c>
      <c r="DU56"/>
      <c r="DW56"/>
    </row>
    <row r="57" spans="1:127" ht="1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8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30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2"/>
        <v>0</v>
      </c>
      <c r="DK57" s="114"/>
      <c r="DL57" s="114"/>
      <c r="DM57" s="115">
        <f t="shared" si="23"/>
        <v>0</v>
      </c>
      <c r="DO57" s="107">
        <f t="shared" si="31"/>
        <v>0</v>
      </c>
      <c r="DQ57" s="129" t="str">
        <f t="shared" si="32"/>
        <v>-</v>
      </c>
      <c r="DS57" s="110" t="str">
        <f>IFERROR(RANK(DQ57,$DQ$6:$DQ$70)&amp;LOOKUP(RANK(DQ57,$DQ$6:$DQ$70),{1,2,3,4;"st","nd","rd","th"}),"-")</f>
        <v>-</v>
      </c>
      <c r="DU57"/>
      <c r="DW57"/>
    </row>
    <row r="58" spans="1:127" ht="1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8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30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2"/>
        <v>0</v>
      </c>
      <c r="DK58" s="114"/>
      <c r="DL58" s="114"/>
      <c r="DM58" s="115">
        <f t="shared" si="23"/>
        <v>0</v>
      </c>
      <c r="DO58" s="107">
        <f t="shared" si="31"/>
        <v>0</v>
      </c>
      <c r="DQ58" s="129" t="str">
        <f t="shared" si="32"/>
        <v>-</v>
      </c>
      <c r="DS58" s="110" t="str">
        <f>IFERROR(RANK(DQ58,$DQ$6:$DQ$70)&amp;LOOKUP(RANK(DQ58,$DQ$6:$DQ$70),{1,2,3,4;"st","nd","rd","th"}),"-")</f>
        <v>-</v>
      </c>
      <c r="DU58"/>
      <c r="DW58"/>
    </row>
    <row r="59" spans="1:127" ht="1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8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30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/>
      <c r="CB59" s="114"/>
      <c r="CC59" s="115">
        <f t="shared" si="14"/>
        <v>0</v>
      </c>
      <c r="CE59" s="114"/>
      <c r="CF59" s="114"/>
      <c r="CG59" s="115">
        <f t="shared" si="15"/>
        <v>0</v>
      </c>
      <c r="CI59" s="114"/>
      <c r="CJ59" s="114"/>
      <c r="CK59" s="115">
        <f t="shared" si="16"/>
        <v>0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/>
      <c r="DD59" s="114"/>
      <c r="DE59" s="115">
        <f t="shared" si="21"/>
        <v>0</v>
      </c>
      <c r="DG59" s="114"/>
      <c r="DH59" s="114"/>
      <c r="DI59" s="115">
        <f t="shared" si="22"/>
        <v>0</v>
      </c>
      <c r="DK59" s="114"/>
      <c r="DL59" s="114"/>
      <c r="DM59" s="115">
        <f t="shared" si="23"/>
        <v>0</v>
      </c>
      <c r="DO59" s="107">
        <f t="shared" si="31"/>
        <v>0</v>
      </c>
      <c r="DQ59" s="129" t="str">
        <f t="shared" si="32"/>
        <v>-</v>
      </c>
      <c r="DS59" s="110" t="str">
        <f>IFERROR(RANK(DQ59,$DQ$6:$DQ$70)&amp;LOOKUP(RANK(DQ59,$DQ$6:$DQ$70),{1,2,3,4;"st","nd","rd","th"}),"-")</f>
        <v>-</v>
      </c>
      <c r="DU59"/>
      <c r="DW59"/>
    </row>
    <row r="60" spans="1:127" ht="1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8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30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/>
      <c r="CB60" s="114"/>
      <c r="CC60" s="115">
        <f t="shared" si="14"/>
        <v>0</v>
      </c>
      <c r="CE60" s="114"/>
      <c r="CF60" s="114"/>
      <c r="CG60" s="115">
        <f t="shared" si="15"/>
        <v>0</v>
      </c>
      <c r="CI60" s="114"/>
      <c r="CJ60" s="114"/>
      <c r="CK60" s="115">
        <f t="shared" si="16"/>
        <v>0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/>
      <c r="DD60" s="114"/>
      <c r="DE60" s="115">
        <f t="shared" si="21"/>
        <v>0</v>
      </c>
      <c r="DG60" s="114"/>
      <c r="DH60" s="114"/>
      <c r="DI60" s="115">
        <f t="shared" si="22"/>
        <v>0</v>
      </c>
      <c r="DK60" s="114"/>
      <c r="DL60" s="114"/>
      <c r="DM60" s="115">
        <f t="shared" si="23"/>
        <v>0</v>
      </c>
      <c r="DO60" s="107">
        <f t="shared" si="31"/>
        <v>0</v>
      </c>
      <c r="DQ60" s="129" t="str">
        <f t="shared" si="32"/>
        <v>-</v>
      </c>
      <c r="DS60" s="110" t="str">
        <f>IFERROR(RANK(DQ60,$DQ$6:$DQ$70)&amp;LOOKUP(RANK(DQ60,$DQ$6:$DQ$70),{1,2,3,4;"st","nd","rd","th"}),"-")</f>
        <v>-</v>
      </c>
      <c r="DU60"/>
      <c r="DW60"/>
    </row>
    <row r="61" spans="1:127" ht="1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8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30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2"/>
        <v>0</v>
      </c>
      <c r="DK61" s="114"/>
      <c r="DL61" s="114"/>
      <c r="DM61" s="115">
        <f t="shared" si="23"/>
        <v>0</v>
      </c>
      <c r="DO61" s="107">
        <f t="shared" si="31"/>
        <v>0</v>
      </c>
      <c r="DQ61" s="129" t="str">
        <f t="shared" si="32"/>
        <v>-</v>
      </c>
      <c r="DS61" s="110" t="str">
        <f>IFERROR(RANK(DQ61,$DQ$6:$DQ$70)&amp;LOOKUP(RANK(DQ61,$DQ$6:$DQ$70),{1,2,3,4;"st","nd","rd","th"}),"-")</f>
        <v>-</v>
      </c>
      <c r="DU61"/>
      <c r="DW61"/>
    </row>
    <row r="62" spans="1:127" ht="1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8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30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2"/>
        <v>0</v>
      </c>
      <c r="DK62" s="114"/>
      <c r="DL62" s="114"/>
      <c r="DM62" s="115">
        <f t="shared" si="23"/>
        <v>0</v>
      </c>
      <c r="DO62" s="107">
        <f t="shared" si="31"/>
        <v>0</v>
      </c>
      <c r="DQ62" s="129" t="str">
        <f t="shared" si="32"/>
        <v>-</v>
      </c>
      <c r="DS62" s="110" t="str">
        <f>IFERROR(RANK(DQ62,$DQ$6:$DQ$70)&amp;LOOKUP(RANK(DQ62,$DQ$6:$DQ$70),{1,2,3,4;"st","nd","rd","th"}),"-")</f>
        <v>-</v>
      </c>
      <c r="DU62"/>
      <c r="DW62"/>
    </row>
    <row r="63" spans="1:127" ht="1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8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30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2"/>
        <v>0</v>
      </c>
      <c r="DK63" s="114"/>
      <c r="DL63" s="114"/>
      <c r="DM63" s="115">
        <f t="shared" si="23"/>
        <v>0</v>
      </c>
      <c r="DO63" s="107">
        <f t="shared" si="31"/>
        <v>0</v>
      </c>
      <c r="DQ63" s="129" t="str">
        <f t="shared" si="32"/>
        <v>-</v>
      </c>
      <c r="DS63" s="110" t="str">
        <f>IFERROR(RANK(DQ63,$DQ$6:$DQ$70)&amp;LOOKUP(RANK(DQ63,$DQ$6:$DQ$70),{1,2,3,4;"st","nd","rd","th"}),"-")</f>
        <v>-</v>
      </c>
      <c r="DU63"/>
      <c r="DW63"/>
    </row>
    <row r="64" spans="1:127" ht="1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8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30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2"/>
        <v>0</v>
      </c>
      <c r="DK64" s="114"/>
      <c r="DL64" s="114"/>
      <c r="DM64" s="115">
        <f t="shared" si="23"/>
        <v>0</v>
      </c>
      <c r="DO64" s="107">
        <f t="shared" si="31"/>
        <v>0</v>
      </c>
      <c r="DQ64" s="129" t="str">
        <f t="shared" si="32"/>
        <v>-</v>
      </c>
      <c r="DS64" s="110" t="str">
        <f>IFERROR(RANK(DQ64,$DQ$6:$DQ$70)&amp;LOOKUP(RANK(DQ64,$DQ$6:$DQ$70),{1,2,3,4;"st","nd","rd","th"}),"-")</f>
        <v>-</v>
      </c>
      <c r="DU64"/>
      <c r="DW64"/>
    </row>
    <row r="65" spans="1:127" ht="1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8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30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2"/>
        <v>0</v>
      </c>
      <c r="DK65" s="114"/>
      <c r="DL65" s="114"/>
      <c r="DM65" s="115">
        <f t="shared" si="23"/>
        <v>0</v>
      </c>
      <c r="DO65" s="107">
        <f t="shared" si="31"/>
        <v>0</v>
      </c>
      <c r="DQ65" s="129" t="str">
        <f t="shared" si="32"/>
        <v>-</v>
      </c>
      <c r="DS65" s="110" t="str">
        <f>IFERROR(RANK(DQ65,$DQ$6:$DQ$70)&amp;LOOKUP(RANK(DQ65,$DQ$6:$DQ$70),{1,2,3,4;"st","nd","rd","th"}),"-")</f>
        <v>-</v>
      </c>
      <c r="DU65"/>
      <c r="DW65"/>
    </row>
    <row r="66" spans="1:127" ht="1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8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30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2"/>
        <v>0</v>
      </c>
      <c r="DK66" s="114"/>
      <c r="DL66" s="114"/>
      <c r="DM66" s="115">
        <f t="shared" si="23"/>
        <v>0</v>
      </c>
      <c r="DO66" s="107">
        <f t="shared" si="31"/>
        <v>0</v>
      </c>
      <c r="DQ66" s="129" t="str">
        <f t="shared" si="32"/>
        <v>-</v>
      </c>
      <c r="DS66" s="110" t="str">
        <f>IFERROR(RANK(DQ66,$DQ$6:$DQ$70)&amp;LOOKUP(RANK(DQ66,$DQ$6:$DQ$70),{1,2,3,4;"st","nd","rd","th"}),"-")</f>
        <v>-</v>
      </c>
      <c r="DU66"/>
      <c r="DW66"/>
    </row>
    <row r="67" spans="1:127" ht="1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8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30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2"/>
        <v>0</v>
      </c>
      <c r="DK67" s="114"/>
      <c r="DL67" s="114"/>
      <c r="DM67" s="115">
        <f t="shared" si="23"/>
        <v>0</v>
      </c>
      <c r="DO67" s="107">
        <f t="shared" si="31"/>
        <v>0</v>
      </c>
      <c r="DQ67" s="129" t="str">
        <f t="shared" si="32"/>
        <v>-</v>
      </c>
      <c r="DS67" s="110" t="str">
        <f>IFERROR(RANK(DQ67,$DQ$6:$DQ$70)&amp;LOOKUP(RANK(DQ67,$DQ$6:$DQ$70),{1,2,3,4;"st","nd","rd","th"}),"-")</f>
        <v>-</v>
      </c>
      <c r="DU67"/>
      <c r="DW67"/>
    </row>
    <row r="68" spans="1:127" ht="1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8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30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2"/>
        <v>0</v>
      </c>
      <c r="DK68" s="114"/>
      <c r="DL68" s="114"/>
      <c r="DM68" s="115">
        <f t="shared" si="23"/>
        <v>0</v>
      </c>
      <c r="DO68" s="107">
        <f t="shared" si="31"/>
        <v>0</v>
      </c>
      <c r="DQ68" s="129" t="str">
        <f t="shared" si="32"/>
        <v>-</v>
      </c>
      <c r="DS68" s="110" t="str">
        <f>IFERROR(RANK(DQ68,$DQ$6:$DQ$70)&amp;LOOKUP(RANK(DQ68,$DQ$6:$DQ$70),{1,2,3,4;"st","nd","rd","th"}),"-")</f>
        <v>-</v>
      </c>
      <c r="DU68"/>
      <c r="DW68"/>
    </row>
    <row r="69" spans="1:127" ht="1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8"/>
        <v>0</v>
      </c>
      <c r="V69" s="116"/>
      <c r="W69" s="114"/>
      <c r="X69" s="114"/>
      <c r="Y69" s="115">
        <f t="shared" ref="Y69:Y70" si="33">W69+X69</f>
        <v>0</v>
      </c>
      <c r="Z69" s="116"/>
      <c r="AA69" s="114"/>
      <c r="AB69" s="114"/>
      <c r="AC69" s="115">
        <f t="shared" ref="AC69:AC70" si="34">AA69+AB69</f>
        <v>0</v>
      </c>
      <c r="AD69" s="116"/>
      <c r="AE69" s="114"/>
      <c r="AF69" s="114"/>
      <c r="AG69" s="115">
        <f t="shared" ref="AG69:AG70" si="35">AE69+AF69</f>
        <v>0</v>
      </c>
      <c r="AH69" s="116"/>
      <c r="AI69" s="114"/>
      <c r="AJ69" s="114"/>
      <c r="AK69" s="115">
        <f t="shared" ref="AK69" si="36">AI69+AJ69</f>
        <v>0</v>
      </c>
      <c r="AL69" s="116"/>
      <c r="AM69" s="114"/>
      <c r="AN69" s="114"/>
      <c r="AO69" s="115">
        <f t="shared" ref="AO69:AO70" si="37">AM69+AN69</f>
        <v>0</v>
      </c>
      <c r="AP69" s="116"/>
      <c r="AQ69" s="114"/>
      <c r="AR69" s="114"/>
      <c r="AS69" s="115">
        <f t="shared" ref="AS69:AS70" si="38">AQ69+AR69</f>
        <v>0</v>
      </c>
      <c r="AT69" s="114"/>
      <c r="AU69" s="114"/>
      <c r="AV69" s="114"/>
      <c r="AW69" s="117">
        <f t="shared" si="30"/>
        <v>0</v>
      </c>
      <c r="AX69" s="114"/>
      <c r="AY69" s="114"/>
      <c r="AZ69" s="114"/>
      <c r="BA69" s="115">
        <f t="shared" ref="BA69:BA70" si="39">AY69+AZ69</f>
        <v>0</v>
      </c>
      <c r="BB69" s="116"/>
      <c r="BC69" s="114"/>
      <c r="BD69" s="114"/>
      <c r="BE69" s="115">
        <f t="shared" ref="BE69:BE70" si="40">BC69+BD69</f>
        <v>0</v>
      </c>
      <c r="BF69" s="114"/>
      <c r="BG69" s="114"/>
      <c r="BH69" s="114"/>
      <c r="BI69" s="115">
        <f t="shared" ref="BI69:BI70" si="41">BG69+BH69</f>
        <v>0</v>
      </c>
      <c r="BJ69" s="114"/>
      <c r="BK69" s="114"/>
      <c r="BL69" s="114"/>
      <c r="BM69" s="115">
        <f t="shared" ref="BM69:BM70" si="42">BK69+BL69</f>
        <v>0</v>
      </c>
      <c r="BN69" s="114"/>
      <c r="BO69" s="114"/>
      <c r="BP69" s="114"/>
      <c r="BQ69" s="115">
        <f t="shared" ref="BQ69" si="43">BO69+BP69</f>
        <v>0</v>
      </c>
      <c r="BR69" s="114"/>
      <c r="BS69" s="114"/>
      <c r="BT69" s="114"/>
      <c r="BU69" s="115">
        <f t="shared" ref="BU69" si="44">BS69+BT69</f>
        <v>0</v>
      </c>
      <c r="BV69" s="114"/>
      <c r="BW69" s="114"/>
      <c r="BX69" s="114"/>
      <c r="BY69" s="115">
        <f t="shared" ref="BY69:BY70" si="45">BW69+BX69</f>
        <v>0</v>
      </c>
      <c r="BZ69" s="114"/>
      <c r="CA69" s="114"/>
      <c r="CB69" s="114"/>
      <c r="CC69" s="115">
        <f t="shared" ref="CC69:CC70" si="46">CA69+CB69</f>
        <v>0</v>
      </c>
      <c r="CE69" s="114"/>
      <c r="CF69" s="114"/>
      <c r="CG69" s="115">
        <f t="shared" ref="CG69:CG70" si="47">CE69+CF69</f>
        <v>0</v>
      </c>
      <c r="CI69" s="114"/>
      <c r="CJ69" s="114"/>
      <c r="CK69" s="115">
        <f t="shared" ref="CK69:CK70" si="48">CI69+CJ69</f>
        <v>0</v>
      </c>
      <c r="CM69" s="114"/>
      <c r="CN69" s="114"/>
      <c r="CO69" s="115">
        <f t="shared" ref="CO69:CO70" si="49">CM69+CN69</f>
        <v>0</v>
      </c>
      <c r="CP69" s="114"/>
      <c r="CQ69" s="114"/>
      <c r="CR69" s="114"/>
      <c r="CS69" s="115">
        <f t="shared" ref="CS69" si="50">CQ69+CR69</f>
        <v>0</v>
      </c>
      <c r="CT69" s="114"/>
      <c r="CU69" s="114"/>
      <c r="CV69" s="114"/>
      <c r="CW69" s="115">
        <f t="shared" ref="CW69" si="51">CU69+CV69</f>
        <v>0</v>
      </c>
      <c r="CX69" s="114"/>
      <c r="CY69" s="114"/>
      <c r="CZ69" s="114"/>
      <c r="DA69" s="115">
        <f t="shared" ref="DA69:DA70" si="52">CY69+CZ69</f>
        <v>0</v>
      </c>
      <c r="DB69" s="114"/>
      <c r="DC69" s="114"/>
      <c r="DD69" s="114"/>
      <c r="DE69" s="115">
        <f t="shared" ref="DE69:DE70" si="53">DC69+DD69</f>
        <v>0</v>
      </c>
      <c r="DG69" s="114"/>
      <c r="DH69" s="114"/>
      <c r="DI69" s="115">
        <f t="shared" ref="DI69:DI70" si="54">DG69+DH69</f>
        <v>0</v>
      </c>
      <c r="DK69" s="114"/>
      <c r="DL69" s="114"/>
      <c r="DM69" s="115">
        <f t="shared" ref="DM69:DM70" si="55">DK69+DL69</f>
        <v>0</v>
      </c>
      <c r="DO69" s="107">
        <f t="shared" si="31"/>
        <v>0</v>
      </c>
      <c r="DQ69" s="129" t="str">
        <f t="shared" si="32"/>
        <v>-</v>
      </c>
      <c r="DS69" s="110" t="str">
        <f>IFERROR(RANK(DQ69,$DQ$6:$DQ$70)&amp;LOOKUP(RANK(DQ69,$DQ$6:$DQ$70),{1,2,3,4;"st","nd","rd","th"}),"-")</f>
        <v>-</v>
      </c>
      <c r="DU69"/>
      <c r="DW69"/>
    </row>
    <row r="70" spans="1:127" ht="1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6">S70+T70</f>
        <v>0</v>
      </c>
      <c r="V70" s="116"/>
      <c r="W70" s="114"/>
      <c r="X70" s="114"/>
      <c r="Y70" s="115">
        <f t="shared" si="33"/>
        <v>0</v>
      </c>
      <c r="Z70" s="116"/>
      <c r="AA70" s="114"/>
      <c r="AB70" s="114"/>
      <c r="AC70" s="115">
        <f t="shared" si="34"/>
        <v>0</v>
      </c>
      <c r="AD70" s="116"/>
      <c r="AE70" s="114"/>
      <c r="AF70" s="114"/>
      <c r="AG70" s="115">
        <f t="shared" si="35"/>
        <v>0</v>
      </c>
      <c r="AH70" s="116"/>
      <c r="AI70" s="114"/>
      <c r="AJ70" s="114"/>
      <c r="AK70" s="115"/>
      <c r="AL70" s="116"/>
      <c r="AM70" s="114"/>
      <c r="AN70" s="114"/>
      <c r="AO70" s="115">
        <f t="shared" si="37"/>
        <v>0</v>
      </c>
      <c r="AP70" s="116"/>
      <c r="AQ70" s="114"/>
      <c r="AR70" s="114"/>
      <c r="AS70" s="115">
        <f t="shared" si="38"/>
        <v>0</v>
      </c>
      <c r="AT70" s="114"/>
      <c r="AU70" s="114"/>
      <c r="AV70" s="114"/>
      <c r="AW70" s="117">
        <f t="shared" ref="AW70" si="57">SUM(AU70:AV70)</f>
        <v>0</v>
      </c>
      <c r="AX70" s="114"/>
      <c r="AY70" s="114"/>
      <c r="AZ70" s="114"/>
      <c r="BA70" s="115">
        <f t="shared" si="39"/>
        <v>0</v>
      </c>
      <c r="BB70" s="116"/>
      <c r="BC70" s="114"/>
      <c r="BD70" s="114"/>
      <c r="BE70" s="115">
        <f t="shared" si="40"/>
        <v>0</v>
      </c>
      <c r="BF70" s="114"/>
      <c r="BG70" s="114"/>
      <c r="BH70" s="114"/>
      <c r="BI70" s="115">
        <f t="shared" si="41"/>
        <v>0</v>
      </c>
      <c r="BJ70" s="114"/>
      <c r="BK70" s="114"/>
      <c r="BL70" s="114"/>
      <c r="BM70" s="115">
        <f t="shared" si="42"/>
        <v>0</v>
      </c>
      <c r="BN70" s="114"/>
      <c r="BO70" s="114"/>
      <c r="BP70" s="114"/>
      <c r="BQ70" s="115"/>
      <c r="BR70" s="114"/>
      <c r="BS70" s="114"/>
      <c r="BT70" s="114"/>
      <c r="BU70" s="115"/>
      <c r="BV70" s="114"/>
      <c r="BW70" s="114"/>
      <c r="BX70" s="114"/>
      <c r="BY70" s="115">
        <f t="shared" si="45"/>
        <v>0</v>
      </c>
      <c r="BZ70" s="114"/>
      <c r="CA70" s="114"/>
      <c r="CB70" s="114"/>
      <c r="CC70" s="115">
        <f t="shared" si="46"/>
        <v>0</v>
      </c>
      <c r="CE70" s="114"/>
      <c r="CF70" s="114"/>
      <c r="CG70" s="115">
        <f t="shared" si="47"/>
        <v>0</v>
      </c>
      <c r="CI70" s="114"/>
      <c r="CJ70" s="114"/>
      <c r="CK70" s="115">
        <f t="shared" si="48"/>
        <v>0</v>
      </c>
      <c r="CM70" s="114"/>
      <c r="CN70" s="114"/>
      <c r="CO70" s="115">
        <f t="shared" si="49"/>
        <v>0</v>
      </c>
      <c r="CP70" s="114"/>
      <c r="CQ70" s="114"/>
      <c r="CR70" s="114"/>
      <c r="CS70" s="115"/>
      <c r="CT70" s="114"/>
      <c r="CU70" s="114"/>
      <c r="CV70" s="114"/>
      <c r="CW70" s="115"/>
      <c r="CX70" s="114"/>
      <c r="CY70" s="114"/>
      <c r="CZ70" s="114"/>
      <c r="DA70" s="115">
        <f t="shared" si="52"/>
        <v>0</v>
      </c>
      <c r="DB70" s="114"/>
      <c r="DC70" s="114"/>
      <c r="DD70" s="114"/>
      <c r="DE70" s="115">
        <f t="shared" si="53"/>
        <v>0</v>
      </c>
      <c r="DG70" s="114"/>
      <c r="DH70" s="114"/>
      <c r="DI70" s="115">
        <f t="shared" si="54"/>
        <v>0</v>
      </c>
      <c r="DK70" s="114"/>
      <c r="DL70" s="114"/>
      <c r="DM70" s="115">
        <f t="shared" si="55"/>
        <v>0</v>
      </c>
      <c r="DO70" s="107">
        <f t="shared" si="31"/>
        <v>0</v>
      </c>
      <c r="DQ70" s="129" t="str">
        <f t="shared" si="32"/>
        <v>-</v>
      </c>
      <c r="DS70" s="110" t="str">
        <f>IFERROR(RANK(DQ70,$DQ$6:$DQ$70)&amp;LOOKUP(RANK(DQ70,$DQ$6:$DQ$70),{1,2,3,4;"st","nd","rd","th"}),"-")</f>
        <v>-</v>
      </c>
      <c r="DU70"/>
      <c r="DW70"/>
    </row>
    <row r="71" spans="1:127" ht="15.5">
      <c r="F71"/>
      <c r="Z71" s="72"/>
      <c r="AD71" s="72"/>
      <c r="AL71" s="72"/>
      <c r="BB71" s="72"/>
      <c r="BC71" s="77"/>
    </row>
    <row r="72" spans="1:127">
      <c r="X72"/>
      <c r="Z72" s="72"/>
      <c r="AD72" s="72"/>
      <c r="AL72" s="72"/>
      <c r="BB72" s="72"/>
    </row>
    <row r="73" spans="1:127">
      <c r="AD73" s="72"/>
    </row>
  </sheetData>
  <sheetProtection password="D9FE"/>
  <mergeCells count="27">
    <mergeCell ref="DG2:DI3"/>
    <mergeCell ref="CU2:CW3"/>
    <mergeCell ref="CY2:DA3"/>
    <mergeCell ref="DC2:DE3"/>
    <mergeCell ref="DO3:DS3"/>
    <mergeCell ref="DK2:DM3"/>
    <mergeCell ref="A1:B2"/>
    <mergeCell ref="S2:U3"/>
    <mergeCell ref="W2:Y3"/>
    <mergeCell ref="AA2:AC3"/>
    <mergeCell ref="AE2:AG3"/>
    <mergeCell ref="BC2:BE3"/>
    <mergeCell ref="BG2:BI3"/>
    <mergeCell ref="CM2:CO3"/>
    <mergeCell ref="CQ2:CS3"/>
    <mergeCell ref="AI2:AK3"/>
    <mergeCell ref="AM2:AO3"/>
    <mergeCell ref="AQ2:AS3"/>
    <mergeCell ref="AU2:AW3"/>
    <mergeCell ref="AY2:BA3"/>
    <mergeCell ref="BK2:BM3"/>
    <mergeCell ref="BO2:BQ3"/>
    <mergeCell ref="BS2:BU3"/>
    <mergeCell ref="BW2:BY3"/>
    <mergeCell ref="CA2:CC3"/>
    <mergeCell ref="CE2:CG3"/>
    <mergeCell ref="CI2:CK3"/>
  </mergeCells>
  <dataValidations count="4">
    <dataValidation type="custom" allowBlank="1" showInputMessage="1" showErrorMessage="1" errorTitle="RAHMAH!" error="Please You Cant Input Such Value." sqref="S6:S70 BW14:BW70 BK6:BK70 BO6:BO70 BS6:BS70 CA6:CA70 CE6:CE70 CI6:CI70 AU6:AU70 AA6:AA70 AE6:AE70 AI6:AI70 AM6:AM70 AP6:AQ70 CY14:CY70 AY6:AY70 BC6:BC70 BG6:BG70 CM6:CM70 CQ6:CQ70 CU6:CU70 W6:W70 DC6:DC70 DG6:DG70 DK6:DK70" xr:uid="{00000000-0002-0000-0300-000000000000}">
      <formula1>S6&lt;=$S$5</formula1>
    </dataValidation>
    <dataValidation type="custom" showInputMessage="1" showErrorMessage="1" errorTitle="RAHMAH!" error="You Can't Include Such Value, Ok._x000a_Thanks" sqref="T6:T70 BP6:BP7 BP15:BP70 BL6:BL70 BX14:BX70 BT6:BT70 CB6:CB70 CF6:CF70 CJ6:CJ70 AV6:AV70 CR6:CR7 AB6:AB70 AF6:AF70 AJ6:AJ70 AN6:AN70 AR6:AR70 CR15:CR70 AZ6:AZ70 BD6:BD70 BH6:BH70 CN6:CN70 CZ14:CZ70 CV6:CV70 X6:X70 DD6:DD70 DH6:DH70 DL6:DL70" xr:uid="{00000000-0002-0000-0300-000001000000}">
      <formula1>T6&lt;=$T$5</formula1>
    </dataValidation>
    <dataValidation type="custom" allowBlank="1" showInputMessage="1" showErrorMessage="1" errorTitle="RAHMAH!" error="Please, You Cant input Such Value." sqref="CY6:CY13 BW6:BW13" xr:uid="{00000000-0002-0000-0300-000002000000}">
      <formula1>BW6&lt;=$S$5</formula1>
    </dataValidation>
    <dataValidation type="custom" showInputMessage="1" showErrorMessage="1" error="Sebeelil!, You Can't Include Such Value, Ok." sqref="CZ6:CZ13 BX6:BX13" xr:uid="{00000000-0002-0000-0300-000003000000}">
      <formula1>BX6&lt;=$T$5</formula1>
    </dataValidation>
  </dataValidations>
  <pageMargins left="0.7" right="0.7" top="0.75" bottom="0.75" header="0.3" footer="0.3"/>
  <pageSetup orientation="portrait" r:id="rId1"/>
  <ignoredErrors>
    <ignoredError sqref="AG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4000000}">
          <x14:formula1>
            <xm:f>setup1!$E$2:$E$30</xm:f>
          </x14:formula1>
          <xm:sqref>AE2 AI2 BC2 BG2 AM2 AY2 CM2 CQ2 CY2 CU2 DC2 W2 S2 AA2 AQ2 AU2 DG2 DK2 BK2 BO2 BW2 BS2 CA2 CE2 CI2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theme="1" tint="4.9989318521683403E-2"/>
  </sheetPr>
  <dimension ref="A1:DS73"/>
  <sheetViews>
    <sheetView showGridLines="0" zoomScale="70" zoomScaleNormal="70" workbookViewId="0">
      <pane xSplit="18" ySplit="4" topLeftCell="DI5" activePane="bottomRight" state="frozen"/>
      <selection activeCell="E9" sqref="E9"/>
      <selection pane="topRight" activeCell="E9" sqref="E9"/>
      <selection pane="bottomLeft" activeCell="E9" sqref="E9"/>
      <selection pane="bottomRight" sqref="A1:B2"/>
    </sheetView>
  </sheetViews>
  <sheetFormatPr defaultColWidth="9.1796875" defaultRowHeight="14.5"/>
  <cols>
    <col min="1" max="1" width="5.1796875" style="4" customWidth="1"/>
    <col min="2" max="2" width="28.1796875" style="4" bestFit="1" customWidth="1"/>
    <col min="3" max="4" width="10" style="4" customWidth="1"/>
    <col min="5" max="5" width="11.1796875" style="4" customWidth="1"/>
    <col min="6" max="6" width="1" style="4" customWidth="1"/>
    <col min="7" max="7" width="11" style="4" customWidth="1"/>
    <col min="8" max="8" width="12.453125" style="4" customWidth="1"/>
    <col min="9" max="9" width="14.453125" style="4" customWidth="1"/>
    <col min="10" max="10" width="14.81640625" style="4" customWidth="1"/>
    <col min="11" max="11" width="0.81640625" style="4" customWidth="1"/>
    <col min="12" max="12" width="9.81640625" style="4" customWidth="1"/>
    <col min="13" max="13" width="9.26953125" style="4" customWidth="1"/>
    <col min="14" max="14" width="33.1796875" style="4" bestFit="1" customWidth="1"/>
    <col min="15" max="15" width="8.26953125" style="4" customWidth="1"/>
    <col min="16" max="16" width="13.54296875" style="4" customWidth="1"/>
    <col min="17" max="17" width="9.7265625" style="4" customWidth="1"/>
    <col min="18" max="18" width="0.81640625" style="4" customWidth="1"/>
    <col min="19" max="19" width="5.26953125" style="73" customWidth="1"/>
    <col min="20" max="20" width="8.26953125" style="73" customWidth="1"/>
    <col min="21" max="21" width="11.26953125" style="73" customWidth="1"/>
    <col min="22" max="22" width="0.81640625" style="73" customWidth="1"/>
    <col min="23" max="23" width="5.26953125" style="73" customWidth="1"/>
    <col min="24" max="24" width="8.26953125" style="73" customWidth="1"/>
    <col min="25" max="25" width="11.81640625" style="73" customWidth="1"/>
    <col min="26" max="26" width="0.81640625" style="73" customWidth="1"/>
    <col min="27" max="27" width="5.26953125" style="73" customWidth="1"/>
    <col min="28" max="28" width="8.26953125" style="73" customWidth="1"/>
    <col min="29" max="29" width="10.81640625" style="73" customWidth="1"/>
    <col min="30" max="30" width="0.81640625" style="73" customWidth="1"/>
    <col min="31" max="31" width="5.26953125" style="73" customWidth="1"/>
    <col min="32" max="32" width="8.26953125" style="73" customWidth="1"/>
    <col min="33" max="33" width="12.1796875" style="73" customWidth="1"/>
    <col min="34" max="34" width="0.81640625" style="73" customWidth="1"/>
    <col min="35" max="35" width="5.26953125" style="73" customWidth="1"/>
    <col min="36" max="36" width="8.26953125" style="73" customWidth="1"/>
    <col min="37" max="37" width="10.453125" style="73" customWidth="1"/>
    <col min="38" max="38" width="0.81640625" style="73" customWidth="1"/>
    <col min="39" max="39" width="5.26953125" style="73" customWidth="1"/>
    <col min="40" max="40" width="8.26953125" style="73" customWidth="1"/>
    <col min="41" max="41" width="11.26953125" style="73" customWidth="1"/>
    <col min="42" max="42" width="0.81640625" style="73" customWidth="1"/>
    <col min="43" max="43" width="5.26953125" style="73" customWidth="1"/>
    <col min="44" max="44" width="8.26953125" style="73" customWidth="1"/>
    <col min="45" max="45" width="11.26953125" style="73" customWidth="1"/>
    <col min="46" max="46" width="0.81640625" style="73" customWidth="1"/>
    <col min="47" max="47" width="5.26953125" style="73" customWidth="1"/>
    <col min="48" max="48" width="8.26953125" style="73" customWidth="1"/>
    <col min="49" max="49" width="11.26953125" style="73" customWidth="1"/>
    <col min="50" max="50" width="0.81640625" style="73" customWidth="1"/>
    <col min="51" max="51" width="5.26953125" style="73" customWidth="1"/>
    <col min="52" max="52" width="8.26953125" style="73" customWidth="1"/>
    <col min="53" max="53" width="11.26953125" style="73" customWidth="1"/>
    <col min="54" max="54" width="0.81640625" style="73" customWidth="1"/>
    <col min="55" max="55" width="5.26953125" style="73" customWidth="1"/>
    <col min="56" max="56" width="8.26953125" style="73" customWidth="1"/>
    <col min="57" max="57" width="11.26953125" style="73" customWidth="1"/>
    <col min="58" max="58" width="0.81640625" style="73" customWidth="1"/>
    <col min="59" max="59" width="5.26953125" style="73" customWidth="1"/>
    <col min="60" max="60" width="8.26953125" style="73" customWidth="1"/>
    <col min="61" max="61" width="11.26953125" style="73" customWidth="1"/>
    <col min="62" max="62" width="0.81640625" style="73" customWidth="1"/>
    <col min="63" max="63" width="5.26953125" style="73" customWidth="1"/>
    <col min="64" max="64" width="8.26953125" style="73" customWidth="1"/>
    <col min="65" max="65" width="11.26953125" style="73" customWidth="1"/>
    <col min="66" max="66" width="0.81640625" style="73" customWidth="1"/>
    <col min="67" max="67" width="5.26953125" style="73" customWidth="1"/>
    <col min="68" max="68" width="8.26953125" style="73" customWidth="1"/>
    <col min="69" max="69" width="11.26953125" style="73" customWidth="1"/>
    <col min="70" max="70" width="0.81640625" style="73" customWidth="1"/>
    <col min="71" max="71" width="5.26953125" style="73" customWidth="1"/>
    <col min="72" max="72" width="8.26953125" style="73" customWidth="1"/>
    <col min="73" max="73" width="11.26953125" style="73" customWidth="1"/>
    <col min="74" max="74" width="0.81640625" style="73" customWidth="1"/>
    <col min="75" max="75" width="5.26953125" style="73" customWidth="1"/>
    <col min="76" max="76" width="5.26953125" style="73" bestFit="1" customWidth="1"/>
    <col min="77" max="77" width="11.26953125" style="73" customWidth="1"/>
    <col min="78" max="78" width="0.81640625" style="73" customWidth="1"/>
    <col min="79" max="79" width="5.26953125" style="73" customWidth="1"/>
    <col min="80" max="80" width="7.7265625" style="73" customWidth="1"/>
    <col min="81" max="81" width="11.26953125" style="73" customWidth="1"/>
    <col min="82" max="82" width="0.81640625" style="4" customWidth="1"/>
    <col min="83" max="83" width="6.7265625" style="4" customWidth="1"/>
    <col min="84" max="84" width="6.81640625" style="4" customWidth="1"/>
    <col min="85" max="85" width="13" style="130" customWidth="1"/>
    <col min="86" max="86" width="0.81640625" customWidth="1"/>
    <col min="87" max="87" width="7.54296875" style="4" customWidth="1"/>
    <col min="88" max="88" width="8.81640625" style="4" customWidth="1"/>
    <col min="89" max="89" width="14.453125" style="4" customWidth="1"/>
    <col min="90" max="90" width="0.81640625" style="4" customWidth="1"/>
    <col min="91" max="91" width="5.26953125" style="73" customWidth="1"/>
    <col min="92" max="92" width="8.26953125" style="73" customWidth="1"/>
    <col min="93" max="93" width="11.26953125" style="73" customWidth="1"/>
    <col min="94" max="94" width="0.81640625" style="73" customWidth="1"/>
    <col min="95" max="95" width="5.26953125" style="73" customWidth="1"/>
    <col min="96" max="96" width="8.26953125" style="73" customWidth="1"/>
    <col min="97" max="97" width="11.26953125" style="73" customWidth="1"/>
    <col min="98" max="98" width="0.81640625" style="73" customWidth="1"/>
    <col min="99" max="99" width="5.26953125" style="73" customWidth="1"/>
    <col min="100" max="100" width="8.26953125" style="73" customWidth="1"/>
    <col min="101" max="101" width="11.26953125" style="73" customWidth="1"/>
    <col min="102" max="102" width="0.81640625" style="73" customWidth="1"/>
    <col min="103" max="103" width="5.26953125" style="73" customWidth="1"/>
    <col min="104" max="104" width="5.26953125" style="73" bestFit="1" customWidth="1"/>
    <col min="105" max="105" width="11.26953125" style="73" customWidth="1"/>
    <col min="106" max="106" width="0.81640625" style="73" customWidth="1"/>
    <col min="107" max="107" width="5.26953125" style="73" customWidth="1"/>
    <col min="108" max="108" width="7.7265625" style="73" customWidth="1"/>
    <col min="109" max="109" width="11.26953125" style="73" customWidth="1"/>
    <col min="110" max="110" width="0.81640625" style="4" customWidth="1"/>
    <col min="111" max="111" width="6.7265625" style="4" customWidth="1"/>
    <col min="112" max="112" width="6.81640625" style="4" customWidth="1"/>
    <col min="113" max="113" width="13" style="130" customWidth="1"/>
    <col min="114" max="114" width="0.81640625" customWidth="1"/>
    <col min="115" max="115" width="7.54296875" style="4" customWidth="1"/>
    <col min="116" max="116" width="8.81640625" style="4" customWidth="1"/>
    <col min="117" max="117" width="14.453125" style="4" customWidth="1"/>
    <col min="118" max="118" width="0.81640625" style="4" customWidth="1"/>
    <col min="119" max="119" width="18.7265625" style="4" customWidth="1"/>
    <col min="120" max="120" width="0.7265625" style="4" customWidth="1"/>
    <col min="121" max="121" width="20.26953125" style="4" bestFit="1" customWidth="1"/>
    <col min="122" max="122" width="0.7265625" style="4" customWidth="1"/>
    <col min="123" max="123" width="18.81640625" style="4" bestFit="1" customWidth="1"/>
    <col min="124" max="16384" width="9.1796875" style="4"/>
  </cols>
  <sheetData>
    <row r="1" spans="1:123" s="3" customFormat="1">
      <c r="A1" s="237"/>
      <c r="B1" s="238"/>
      <c r="S1" s="3" t="str">
        <f>S$2&amp;S4</f>
        <v>ENGLISH LANGUAGECA</v>
      </c>
      <c r="T1" s="3" t="str">
        <f>S$2&amp;T4</f>
        <v>ENGLISH LANGUAGEExam.</v>
      </c>
      <c r="U1" s="3">
        <f t="shared" ref="U1:DE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-CA</v>
      </c>
      <c r="AJ1" s="3" t="str">
        <f>AI$2&amp;AJ4</f>
        <v>-Exam.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GEOGRAPHYCA</v>
      </c>
      <c r="BX1" s="3" t="str">
        <f>BW$2&amp;BX4</f>
        <v>GEOGRAPHYExam.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 t="shared" si="0"/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GEOGRAPHYCA</v>
      </c>
      <c r="CZ1" s="3" t="str">
        <f>CY$2&amp;CZ4</f>
        <v>GEOGRAPHYExam.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 t="shared" si="0"/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</row>
    <row r="2" spans="1:123" s="3" customFormat="1" ht="10.5" customHeight="1" thickBot="1">
      <c r="A2" s="239"/>
      <c r="B2" s="240"/>
      <c r="F2"/>
      <c r="N2" s="3" t="s">
        <v>169</v>
      </c>
      <c r="S2" s="233" t="s">
        <v>86</v>
      </c>
      <c r="T2" s="233"/>
      <c r="U2" s="233"/>
      <c r="V2" s="150"/>
      <c r="W2" s="233" t="s">
        <v>87</v>
      </c>
      <c r="X2" s="233"/>
      <c r="Y2" s="233"/>
      <c r="Z2" s="150"/>
      <c r="AA2" s="233" t="s">
        <v>120</v>
      </c>
      <c r="AB2" s="233"/>
      <c r="AC2" s="233"/>
      <c r="AE2" s="233" t="s">
        <v>121</v>
      </c>
      <c r="AF2" s="233"/>
      <c r="AG2" s="233"/>
      <c r="AH2" s="150"/>
      <c r="AI2" s="233" t="s">
        <v>129</v>
      </c>
      <c r="AJ2" s="233"/>
      <c r="AK2" s="233"/>
      <c r="AL2" s="150"/>
      <c r="AM2" s="233" t="s">
        <v>88</v>
      </c>
      <c r="AN2" s="233"/>
      <c r="AO2" s="233"/>
      <c r="AP2" s="150"/>
      <c r="AQ2" s="233" t="s">
        <v>90</v>
      </c>
      <c r="AR2" s="233"/>
      <c r="AS2" s="233"/>
      <c r="AU2" s="233" t="s">
        <v>123</v>
      </c>
      <c r="AV2" s="233"/>
      <c r="AW2" s="233"/>
      <c r="AY2" s="233" t="s">
        <v>124</v>
      </c>
      <c r="AZ2" s="233"/>
      <c r="BA2" s="233"/>
      <c r="BB2" s="150"/>
      <c r="BC2" s="233" t="s">
        <v>125</v>
      </c>
      <c r="BD2" s="233"/>
      <c r="BE2" s="233"/>
      <c r="BG2" s="233" t="s">
        <v>126</v>
      </c>
      <c r="BH2" s="233"/>
      <c r="BI2" s="233"/>
      <c r="BK2" s="233" t="s">
        <v>89</v>
      </c>
      <c r="BL2" s="233"/>
      <c r="BM2" s="233"/>
      <c r="BO2" s="233" t="s">
        <v>127</v>
      </c>
      <c r="BP2" s="233"/>
      <c r="BQ2" s="233"/>
      <c r="BS2" s="235" t="s">
        <v>128</v>
      </c>
      <c r="BT2" s="235"/>
      <c r="BU2" s="235"/>
      <c r="BW2" s="233" t="s">
        <v>122</v>
      </c>
      <c r="BX2" s="233"/>
      <c r="BY2" s="233"/>
      <c r="CA2" s="233" t="s">
        <v>129</v>
      </c>
      <c r="CB2" s="233"/>
      <c r="CC2" s="233"/>
      <c r="CE2" s="233" t="s">
        <v>129</v>
      </c>
      <c r="CF2" s="233"/>
      <c r="CG2" s="233"/>
      <c r="CH2"/>
      <c r="CI2" s="233" t="s">
        <v>129</v>
      </c>
      <c r="CJ2" s="233"/>
      <c r="CK2" s="233"/>
      <c r="CM2" s="233" t="s">
        <v>89</v>
      </c>
      <c r="CN2" s="233"/>
      <c r="CO2" s="233"/>
      <c r="CQ2" s="233" t="s">
        <v>127</v>
      </c>
      <c r="CR2" s="233"/>
      <c r="CS2" s="233"/>
      <c r="CU2" s="235" t="s">
        <v>128</v>
      </c>
      <c r="CV2" s="235"/>
      <c r="CW2" s="235"/>
      <c r="CY2" s="233" t="s">
        <v>122</v>
      </c>
      <c r="CZ2" s="233"/>
      <c r="DA2" s="233"/>
      <c r="DC2" s="233" t="s">
        <v>129</v>
      </c>
      <c r="DD2" s="233"/>
      <c r="DE2" s="233"/>
      <c r="DG2" s="233" t="s">
        <v>129</v>
      </c>
      <c r="DH2" s="233"/>
      <c r="DI2" s="233"/>
      <c r="DJ2"/>
      <c r="DK2" s="233" t="s">
        <v>129</v>
      </c>
      <c r="DL2" s="233"/>
      <c r="DM2" s="233"/>
    </row>
    <row r="3" spans="1:123" s="7" customFormat="1" ht="10.5" customHeight="1" thickBot="1">
      <c r="A3" s="30"/>
      <c r="B3" s="30"/>
      <c r="C3" s="30"/>
      <c r="D3" s="30"/>
      <c r="E3" s="30"/>
      <c r="F3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234"/>
      <c r="T3" s="234"/>
      <c r="U3" s="234"/>
      <c r="V3" s="150"/>
      <c r="W3" s="233"/>
      <c r="X3" s="233"/>
      <c r="Y3" s="233"/>
      <c r="Z3" s="150"/>
      <c r="AA3" s="233"/>
      <c r="AB3" s="233"/>
      <c r="AC3" s="233"/>
      <c r="AD3" s="151"/>
      <c r="AE3" s="234"/>
      <c r="AF3" s="234"/>
      <c r="AG3" s="234"/>
      <c r="AH3" s="150"/>
      <c r="AI3" s="234"/>
      <c r="AJ3" s="234"/>
      <c r="AK3" s="234"/>
      <c r="AL3" s="150"/>
      <c r="AM3" s="234"/>
      <c r="AN3" s="234"/>
      <c r="AO3" s="234"/>
      <c r="AP3" s="150"/>
      <c r="AQ3" s="234"/>
      <c r="AR3" s="234"/>
      <c r="AS3" s="234"/>
      <c r="AT3" s="151"/>
      <c r="AU3" s="234"/>
      <c r="AV3" s="234"/>
      <c r="AW3" s="234"/>
      <c r="AX3" s="151"/>
      <c r="AY3" s="234"/>
      <c r="AZ3" s="234"/>
      <c r="BA3" s="234"/>
      <c r="BB3" s="150"/>
      <c r="BC3" s="234"/>
      <c r="BD3" s="234"/>
      <c r="BE3" s="234"/>
      <c r="BF3" s="151"/>
      <c r="BG3" s="234"/>
      <c r="BH3" s="234"/>
      <c r="BI3" s="234"/>
      <c r="BJ3" s="151"/>
      <c r="BK3" s="234"/>
      <c r="BL3" s="234"/>
      <c r="BM3" s="234"/>
      <c r="BN3" s="151"/>
      <c r="BO3" s="234"/>
      <c r="BP3" s="234"/>
      <c r="BQ3" s="234"/>
      <c r="BR3" s="151"/>
      <c r="BS3" s="236"/>
      <c r="BT3" s="236"/>
      <c r="BU3" s="236"/>
      <c r="BV3" s="151"/>
      <c r="BW3" s="234"/>
      <c r="BX3" s="234"/>
      <c r="BY3" s="234"/>
      <c r="BZ3" s="151"/>
      <c r="CA3" s="234"/>
      <c r="CB3" s="234"/>
      <c r="CC3" s="234"/>
      <c r="CD3" s="30"/>
      <c r="CE3" s="234"/>
      <c r="CF3" s="234"/>
      <c r="CG3" s="234"/>
      <c r="CI3" s="234"/>
      <c r="CJ3" s="234"/>
      <c r="CK3" s="234"/>
      <c r="CL3" s="152"/>
      <c r="CM3" s="234"/>
      <c r="CN3" s="234"/>
      <c r="CO3" s="234"/>
      <c r="CP3" s="151"/>
      <c r="CQ3" s="234"/>
      <c r="CR3" s="234"/>
      <c r="CS3" s="234"/>
      <c r="CT3" s="151"/>
      <c r="CU3" s="236"/>
      <c r="CV3" s="236"/>
      <c r="CW3" s="236"/>
      <c r="CX3" s="151"/>
      <c r="CY3" s="234"/>
      <c r="CZ3" s="234"/>
      <c r="DA3" s="234"/>
      <c r="DB3" s="151"/>
      <c r="DC3" s="234"/>
      <c r="DD3" s="234"/>
      <c r="DE3" s="234"/>
      <c r="DF3" s="30"/>
      <c r="DG3" s="234"/>
      <c r="DH3" s="234"/>
      <c r="DI3" s="234"/>
      <c r="DK3" s="234"/>
      <c r="DL3" s="234"/>
      <c r="DM3" s="234"/>
      <c r="DN3" s="152"/>
      <c r="DO3" s="241" t="s">
        <v>76</v>
      </c>
      <c r="DP3" s="241"/>
      <c r="DQ3" s="241"/>
      <c r="DR3" s="241"/>
      <c r="DS3" s="241"/>
    </row>
    <row r="4" spans="1:123" ht="25.5" customHeight="1" thickBot="1">
      <c r="A4"/>
      <c r="B4"/>
      <c r="F4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</row>
    <row r="5" spans="1:123" s="87" customFormat="1" ht="24.75" customHeight="1">
      <c r="A5" s="83" t="s">
        <v>71</v>
      </c>
      <c r="B5" s="180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01" t="s">
        <v>92</v>
      </c>
      <c r="J5" s="102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H5" s="112"/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68" si="22">DG5+DH5</f>
        <v>100</v>
      </c>
      <c r="DJ5" s="112"/>
      <c r="DK5" s="127">
        <v>40</v>
      </c>
      <c r="DL5" s="123">
        <v>60</v>
      </c>
      <c r="DM5" s="121">
        <f t="shared" ref="DM5:DM68" si="23">DK5+DL5</f>
        <v>100</v>
      </c>
      <c r="DO5" s="106" t="s">
        <v>69</v>
      </c>
      <c r="DQ5" s="128" t="s">
        <v>15</v>
      </c>
      <c r="DS5" s="154" t="s">
        <v>68</v>
      </c>
    </row>
    <row r="6" spans="1:123">
      <c r="A6" s="178">
        <v>1</v>
      </c>
      <c r="B6" s="182" t="s">
        <v>110</v>
      </c>
      <c r="C6" s="179">
        <v>120</v>
      </c>
      <c r="D6" s="34">
        <v>100</v>
      </c>
      <c r="E6" s="34">
        <v>2</v>
      </c>
      <c r="F6"/>
      <c r="G6" s="31">
        <v>4</v>
      </c>
      <c r="H6" s="34">
        <v>3</v>
      </c>
      <c r="I6" s="31">
        <v>4</v>
      </c>
      <c r="J6" s="34">
        <v>2</v>
      </c>
      <c r="K6" s="5"/>
      <c r="L6" s="32">
        <v>3</v>
      </c>
      <c r="M6" s="32">
        <v>4</v>
      </c>
      <c r="N6" s="32">
        <v>5</v>
      </c>
      <c r="O6" s="32">
        <v>3</v>
      </c>
      <c r="P6" s="32">
        <v>3</v>
      </c>
      <c r="Q6" s="32">
        <v>3</v>
      </c>
      <c r="R6" s="5"/>
      <c r="S6" s="114"/>
      <c r="T6" s="114"/>
      <c r="U6" s="115">
        <f t="shared" ref="U6:U69" si="24">S6+T6</f>
        <v>0</v>
      </c>
      <c r="V6" s="116"/>
      <c r="W6" s="114"/>
      <c r="X6" s="114"/>
      <c r="Y6" s="115">
        <f t="shared" si="1"/>
        <v>0</v>
      </c>
      <c r="Z6" s="116"/>
      <c r="AA6" s="114">
        <v>30</v>
      </c>
      <c r="AB6" s="114">
        <v>23</v>
      </c>
      <c r="AC6" s="115">
        <f t="shared" si="2"/>
        <v>53</v>
      </c>
      <c r="AD6" s="114"/>
      <c r="AE6" s="114"/>
      <c r="AF6" s="114"/>
      <c r="AG6" s="115">
        <f t="shared" si="3"/>
        <v>0</v>
      </c>
      <c r="AH6" s="116"/>
      <c r="AI6" s="114"/>
      <c r="AJ6" s="114"/>
      <c r="AK6" s="115">
        <f t="shared" si="4"/>
        <v>0</v>
      </c>
      <c r="AL6" s="116"/>
      <c r="AM6" s="114"/>
      <c r="AN6" s="114"/>
      <c r="AO6" s="115">
        <f t="shared" si="5"/>
        <v>0</v>
      </c>
      <c r="AP6" s="116"/>
      <c r="AQ6" s="114"/>
      <c r="AR6" s="114"/>
      <c r="AS6" s="115">
        <f t="shared" si="6"/>
        <v>0</v>
      </c>
      <c r="AT6" s="114"/>
      <c r="AU6" s="114"/>
      <c r="AV6" s="114"/>
      <c r="AW6" s="117">
        <f t="shared" ref="AW6:AW37" si="25">SUM(AU6:AV6)</f>
        <v>0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>
        <v>16</v>
      </c>
      <c r="BH6" s="114">
        <v>20</v>
      </c>
      <c r="BI6" s="115">
        <f t="shared" si="9"/>
        <v>36</v>
      </c>
      <c r="BJ6" s="114"/>
      <c r="BK6" s="114"/>
      <c r="BL6" s="114"/>
      <c r="BM6" s="115">
        <f t="shared" si="10"/>
        <v>0</v>
      </c>
      <c r="BN6" s="114"/>
      <c r="BO6" s="114">
        <v>30</v>
      </c>
      <c r="BP6" s="114">
        <v>20</v>
      </c>
      <c r="BQ6" s="115">
        <f t="shared" si="11"/>
        <v>50</v>
      </c>
      <c r="BR6" s="114"/>
      <c r="BS6" s="114">
        <v>31</v>
      </c>
      <c r="BT6" s="114"/>
      <c r="BU6" s="115">
        <f t="shared" si="12"/>
        <v>31</v>
      </c>
      <c r="BV6" s="114"/>
      <c r="BW6" s="114">
        <v>35</v>
      </c>
      <c r="BX6" s="114">
        <v>36</v>
      </c>
      <c r="BY6" s="115">
        <f t="shared" si="13"/>
        <v>71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>
        <v>30</v>
      </c>
      <c r="CR6" s="114">
        <v>20</v>
      </c>
      <c r="CS6" s="115">
        <f t="shared" si="18"/>
        <v>50</v>
      </c>
      <c r="CT6" s="114"/>
      <c r="CU6" s="114">
        <v>31</v>
      </c>
      <c r="CV6" s="114"/>
      <c r="CW6" s="115">
        <f t="shared" si="19"/>
        <v>31</v>
      </c>
      <c r="CX6" s="114"/>
      <c r="CY6" s="114">
        <v>35</v>
      </c>
      <c r="CZ6" s="114">
        <v>36</v>
      </c>
      <c r="DA6" s="115">
        <f t="shared" si="20"/>
        <v>71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393</v>
      </c>
      <c r="DQ6" s="129">
        <f t="shared" ref="DQ6:DQ37" si="27">IFERROR(DO6/(COUNTIFS($S6:$DM6,"&gt;0",$S$4:$DM$4,$DM$4)*100),"-")</f>
        <v>0.49125000000000002</v>
      </c>
      <c r="DS6" s="110" t="str">
        <f>IFERROR(RANK(DQ6,$DQ$6:$DQ$70)&amp;LOOKUP(RANK(DQ6,$DQ$6:$DQ$70),{1,2,3,4;"st","nd","rd","th"}),"-")</f>
        <v>5th</v>
      </c>
    </row>
    <row r="7" spans="1:123">
      <c r="A7" s="178">
        <v>2</v>
      </c>
      <c r="B7" t="s">
        <v>109</v>
      </c>
      <c r="C7" s="179">
        <v>120</v>
      </c>
      <c r="D7" s="34">
        <v>94</v>
      </c>
      <c r="E7" s="35">
        <v>8</v>
      </c>
      <c r="F7"/>
      <c r="G7" s="34">
        <v>1</v>
      </c>
      <c r="H7" s="34">
        <v>2</v>
      </c>
      <c r="I7" s="34">
        <v>3</v>
      </c>
      <c r="J7" s="34">
        <v>4</v>
      </c>
      <c r="K7" s="5"/>
      <c r="L7" s="36">
        <v>2</v>
      </c>
      <c r="M7" s="36">
        <v>2</v>
      </c>
      <c r="N7" s="36">
        <v>2</v>
      </c>
      <c r="O7" s="36">
        <v>2</v>
      </c>
      <c r="P7" s="36">
        <v>2</v>
      </c>
      <c r="Q7" s="36">
        <v>2</v>
      </c>
      <c r="R7" s="5"/>
      <c r="S7" s="114">
        <v>3</v>
      </c>
      <c r="T7" s="114">
        <v>5</v>
      </c>
      <c r="U7" s="115">
        <f t="shared" si="24"/>
        <v>8</v>
      </c>
      <c r="V7" s="116"/>
      <c r="W7" s="114"/>
      <c r="X7" s="114"/>
      <c r="Y7" s="115">
        <f>W7+X7</f>
        <v>0</v>
      </c>
      <c r="Z7" s="116"/>
      <c r="AA7" s="114">
        <v>30</v>
      </c>
      <c r="AB7" s="114">
        <v>23</v>
      </c>
      <c r="AC7" s="115">
        <f t="shared" si="2"/>
        <v>53</v>
      </c>
      <c r="AD7" s="114"/>
      <c r="AE7" s="114"/>
      <c r="AF7" s="114"/>
      <c r="AG7" s="115">
        <f t="shared" si="3"/>
        <v>0</v>
      </c>
      <c r="AH7" s="116"/>
      <c r="AI7" s="114"/>
      <c r="AJ7" s="114"/>
      <c r="AK7" s="115">
        <f t="shared" si="4"/>
        <v>0</v>
      </c>
      <c r="AL7" s="116"/>
      <c r="AM7" s="114"/>
      <c r="AN7" s="114"/>
      <c r="AO7" s="115">
        <f t="shared" si="5"/>
        <v>0</v>
      </c>
      <c r="AP7" s="116"/>
      <c r="AQ7" s="114"/>
      <c r="AR7" s="114"/>
      <c r="AS7" s="115">
        <f t="shared" si="6"/>
        <v>0</v>
      </c>
      <c r="AT7" s="114"/>
      <c r="AU7" s="114"/>
      <c r="AV7" s="114"/>
      <c r="AW7" s="117">
        <f t="shared" si="25"/>
        <v>0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>
        <v>18</v>
      </c>
      <c r="BH7" s="114">
        <v>21</v>
      </c>
      <c r="BI7" s="115">
        <f t="shared" si="9"/>
        <v>39</v>
      </c>
      <c r="BJ7" s="114"/>
      <c r="BK7" s="114"/>
      <c r="BL7" s="114"/>
      <c r="BM7" s="115">
        <f t="shared" si="10"/>
        <v>0</v>
      </c>
      <c r="BN7" s="114"/>
      <c r="BO7" s="114">
        <v>31</v>
      </c>
      <c r="BP7" s="114">
        <v>33</v>
      </c>
      <c r="BQ7" s="115">
        <f t="shared" si="11"/>
        <v>64</v>
      </c>
      <c r="BR7" s="114"/>
      <c r="BS7" s="114">
        <v>28</v>
      </c>
      <c r="BT7" s="114"/>
      <c r="BU7" s="115">
        <f t="shared" si="12"/>
        <v>28</v>
      </c>
      <c r="BV7" s="114"/>
      <c r="BW7" s="114">
        <v>30</v>
      </c>
      <c r="BX7" s="114">
        <v>47</v>
      </c>
      <c r="BY7" s="115">
        <f t="shared" si="13"/>
        <v>77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>
        <v>31</v>
      </c>
      <c r="CR7" s="114">
        <v>33</v>
      </c>
      <c r="CS7" s="115">
        <f t="shared" si="18"/>
        <v>64</v>
      </c>
      <c r="CT7" s="114"/>
      <c r="CU7" s="114">
        <v>28</v>
      </c>
      <c r="CV7" s="114"/>
      <c r="CW7" s="115">
        <f t="shared" si="19"/>
        <v>28</v>
      </c>
      <c r="CX7" s="114"/>
      <c r="CY7" s="114">
        <v>30</v>
      </c>
      <c r="CZ7" s="114">
        <v>47</v>
      </c>
      <c r="DA7" s="115">
        <f t="shared" si="20"/>
        <v>77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438</v>
      </c>
      <c r="DQ7" s="129">
        <f t="shared" si="27"/>
        <v>0.48666666666666669</v>
      </c>
      <c r="DS7" s="110" t="str">
        <f>IFERROR(RANK(DQ7,$DQ$6:$DQ$70)&amp;LOOKUP(RANK(DQ7,$DQ$6:$DQ$70),{1,2,3,4;"st","nd","rd","th"}),"-")</f>
        <v>6th</v>
      </c>
    </row>
    <row r="8" spans="1:123">
      <c r="A8" s="178">
        <v>3</v>
      </c>
      <c r="B8" s="182" t="s">
        <v>111</v>
      </c>
      <c r="C8" s="179">
        <v>120</v>
      </c>
      <c r="D8" s="34">
        <v>120</v>
      </c>
      <c r="E8" s="35">
        <v>0</v>
      </c>
      <c r="F8"/>
      <c r="G8" s="34">
        <v>5</v>
      </c>
      <c r="H8" s="34">
        <v>2</v>
      </c>
      <c r="I8" s="34">
        <v>4</v>
      </c>
      <c r="J8" s="34">
        <v>3</v>
      </c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/>
      <c r="T8" s="114"/>
      <c r="U8" s="115">
        <f t="shared" si="24"/>
        <v>0</v>
      </c>
      <c r="V8" s="116"/>
      <c r="W8" s="114"/>
      <c r="X8" s="114"/>
      <c r="Y8" s="115">
        <f t="shared" si="1"/>
        <v>0</v>
      </c>
      <c r="Z8" s="116"/>
      <c r="AA8" s="114">
        <v>30</v>
      </c>
      <c r="AB8" s="114">
        <v>23</v>
      </c>
      <c r="AC8" s="115">
        <f t="shared" si="2"/>
        <v>53</v>
      </c>
      <c r="AD8" s="114"/>
      <c r="AE8" s="114"/>
      <c r="AF8" s="114"/>
      <c r="AG8" s="115">
        <f t="shared" si="3"/>
        <v>0</v>
      </c>
      <c r="AH8" s="116"/>
      <c r="AI8" s="114"/>
      <c r="AJ8" s="114"/>
      <c r="AK8" s="115">
        <f t="shared" si="4"/>
        <v>0</v>
      </c>
      <c r="AL8" s="116"/>
      <c r="AM8" s="114"/>
      <c r="AN8" s="114"/>
      <c r="AO8" s="115">
        <f t="shared" si="5"/>
        <v>0</v>
      </c>
      <c r="AP8" s="116"/>
      <c r="AQ8" s="114"/>
      <c r="AR8" s="114"/>
      <c r="AS8" s="115">
        <f t="shared" si="6"/>
        <v>0</v>
      </c>
      <c r="AT8" s="114"/>
      <c r="AU8" s="114"/>
      <c r="AV8" s="114"/>
      <c r="AW8" s="117">
        <f t="shared" si="25"/>
        <v>0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>
        <v>14</v>
      </c>
      <c r="BH8" s="114">
        <v>35</v>
      </c>
      <c r="BI8" s="115">
        <f t="shared" si="9"/>
        <v>49</v>
      </c>
      <c r="BJ8" s="114"/>
      <c r="BK8" s="114"/>
      <c r="BL8" s="114"/>
      <c r="BM8" s="115">
        <f t="shared" si="10"/>
        <v>0</v>
      </c>
      <c r="BN8" s="114"/>
      <c r="BO8" s="114">
        <v>31</v>
      </c>
      <c r="BP8" s="114">
        <v>30</v>
      </c>
      <c r="BQ8" s="115">
        <f t="shared" si="11"/>
        <v>61</v>
      </c>
      <c r="BR8" s="114"/>
      <c r="BS8" s="114">
        <v>28</v>
      </c>
      <c r="BT8" s="114">
        <v>47</v>
      </c>
      <c r="BU8" s="115">
        <f t="shared" si="12"/>
        <v>75</v>
      </c>
      <c r="BV8" s="114"/>
      <c r="BW8" s="114">
        <v>35</v>
      </c>
      <c r="BX8" s="114">
        <v>46</v>
      </c>
      <c r="BY8" s="115">
        <f t="shared" si="13"/>
        <v>81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>
        <v>31</v>
      </c>
      <c r="CR8" s="114">
        <v>30</v>
      </c>
      <c r="CS8" s="115">
        <f t="shared" si="18"/>
        <v>61</v>
      </c>
      <c r="CT8" s="114"/>
      <c r="CU8" s="114">
        <v>28</v>
      </c>
      <c r="CV8" s="114">
        <v>47</v>
      </c>
      <c r="CW8" s="115">
        <f t="shared" si="19"/>
        <v>75</v>
      </c>
      <c r="CX8" s="114"/>
      <c r="CY8" s="114">
        <v>35</v>
      </c>
      <c r="CZ8" s="114">
        <v>46</v>
      </c>
      <c r="DA8" s="115">
        <f t="shared" si="20"/>
        <v>81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536</v>
      </c>
      <c r="DQ8" s="129">
        <f t="shared" si="27"/>
        <v>0.67</v>
      </c>
      <c r="DS8" s="110" t="str">
        <f>IFERROR(RANK(DQ8,$DQ$6:$DQ$70)&amp;LOOKUP(RANK(DQ8,$DQ$6:$DQ$70),{1,2,3,4;"st","nd","rd","th"}),"-")</f>
        <v>4th</v>
      </c>
    </row>
    <row r="9" spans="1:123">
      <c r="A9" s="178">
        <v>4</v>
      </c>
      <c r="B9" s="182" t="s">
        <v>112</v>
      </c>
      <c r="C9" s="179">
        <v>120</v>
      </c>
      <c r="D9" s="34">
        <v>119</v>
      </c>
      <c r="E9" s="35">
        <v>1</v>
      </c>
      <c r="F9"/>
      <c r="G9" s="34">
        <v>2</v>
      </c>
      <c r="H9" s="34">
        <v>5</v>
      </c>
      <c r="I9" s="34">
        <v>4</v>
      </c>
      <c r="J9" s="34">
        <v>3</v>
      </c>
      <c r="K9" s="5"/>
      <c r="L9" s="36">
        <v>5</v>
      </c>
      <c r="M9" s="36">
        <v>5</v>
      </c>
      <c r="N9" s="36">
        <v>5</v>
      </c>
      <c r="O9" s="36">
        <v>5</v>
      </c>
      <c r="P9" s="36">
        <v>5</v>
      </c>
      <c r="Q9" s="36">
        <v>5</v>
      </c>
      <c r="R9" s="5"/>
      <c r="S9" s="114"/>
      <c r="T9" s="114"/>
      <c r="U9" s="115">
        <f t="shared" si="24"/>
        <v>0</v>
      </c>
      <c r="V9" s="116"/>
      <c r="W9" s="114"/>
      <c r="X9" s="114"/>
      <c r="Y9" s="115">
        <f t="shared" si="1"/>
        <v>0</v>
      </c>
      <c r="Z9" s="116"/>
      <c r="AA9" s="114">
        <v>35</v>
      </c>
      <c r="AB9" s="114">
        <v>40</v>
      </c>
      <c r="AC9" s="115">
        <f t="shared" si="2"/>
        <v>75</v>
      </c>
      <c r="AD9" s="114"/>
      <c r="AE9" s="114"/>
      <c r="AF9" s="114"/>
      <c r="AG9" s="115">
        <f t="shared" si="3"/>
        <v>0</v>
      </c>
      <c r="AH9" s="116"/>
      <c r="AI9" s="114"/>
      <c r="AJ9" s="114"/>
      <c r="AK9" s="115">
        <f t="shared" si="4"/>
        <v>0</v>
      </c>
      <c r="AL9" s="116"/>
      <c r="AM9" s="114"/>
      <c r="AN9" s="114"/>
      <c r="AO9" s="115">
        <f t="shared" si="5"/>
        <v>0</v>
      </c>
      <c r="AP9" s="116"/>
      <c r="AQ9" s="114"/>
      <c r="AR9" s="114"/>
      <c r="AS9" s="115">
        <f t="shared" si="6"/>
        <v>0</v>
      </c>
      <c r="AT9" s="114"/>
      <c r="AU9" s="114"/>
      <c r="AV9" s="114"/>
      <c r="AW9" s="117">
        <f t="shared" si="25"/>
        <v>0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>
        <v>23</v>
      </c>
      <c r="BH9" s="114">
        <v>40</v>
      </c>
      <c r="BI9" s="115">
        <f t="shared" si="9"/>
        <v>63</v>
      </c>
      <c r="BJ9" s="114"/>
      <c r="BK9" s="114"/>
      <c r="BL9" s="114"/>
      <c r="BM9" s="115">
        <f t="shared" si="10"/>
        <v>0</v>
      </c>
      <c r="BN9" s="114"/>
      <c r="BO9" s="114">
        <v>34</v>
      </c>
      <c r="BP9" s="114">
        <v>34</v>
      </c>
      <c r="BQ9" s="115">
        <f t="shared" si="11"/>
        <v>68</v>
      </c>
      <c r="BR9" s="114"/>
      <c r="BS9" s="114">
        <v>36</v>
      </c>
      <c r="BT9" s="114">
        <v>36</v>
      </c>
      <c r="BU9" s="115">
        <f t="shared" si="12"/>
        <v>72</v>
      </c>
      <c r="BV9" s="114"/>
      <c r="BW9" s="114">
        <v>35</v>
      </c>
      <c r="BX9" s="114">
        <v>40</v>
      </c>
      <c r="BY9" s="115">
        <f t="shared" si="13"/>
        <v>75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>
        <v>34</v>
      </c>
      <c r="CR9" s="114">
        <v>34</v>
      </c>
      <c r="CS9" s="115">
        <f t="shared" si="18"/>
        <v>68</v>
      </c>
      <c r="CT9" s="114"/>
      <c r="CU9" s="114">
        <v>36</v>
      </c>
      <c r="CV9" s="114">
        <v>36</v>
      </c>
      <c r="CW9" s="115">
        <f t="shared" si="19"/>
        <v>72</v>
      </c>
      <c r="CX9" s="114"/>
      <c r="CY9" s="114">
        <v>35</v>
      </c>
      <c r="CZ9" s="114">
        <v>40</v>
      </c>
      <c r="DA9" s="115">
        <f t="shared" si="20"/>
        <v>75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568</v>
      </c>
      <c r="DQ9" s="129">
        <f t="shared" si="27"/>
        <v>0.71</v>
      </c>
      <c r="DS9" s="110" t="str">
        <f>IFERROR(RANK(DQ9,$DQ$6:$DQ$70)&amp;LOOKUP(RANK(DQ9,$DQ$6:$DQ$70),{1,2,3,4;"st","nd","rd","th"}),"-")</f>
        <v>3rd</v>
      </c>
    </row>
    <row r="10" spans="1:123">
      <c r="A10" s="178">
        <v>5</v>
      </c>
      <c r="B10" s="182" t="s">
        <v>113</v>
      </c>
      <c r="C10" s="179">
        <v>120</v>
      </c>
      <c r="D10" s="34">
        <v>99</v>
      </c>
      <c r="E10" s="35">
        <v>11</v>
      </c>
      <c r="F10"/>
      <c r="G10" s="34">
        <v>3</v>
      </c>
      <c r="H10" s="34">
        <v>4</v>
      </c>
      <c r="I10" s="34">
        <v>5</v>
      </c>
      <c r="J10" s="34">
        <v>5</v>
      </c>
      <c r="K10" s="5"/>
      <c r="L10" s="36">
        <v>5</v>
      </c>
      <c r="M10" s="36">
        <v>5</v>
      </c>
      <c r="N10" s="36">
        <v>3</v>
      </c>
      <c r="O10" s="36">
        <v>3</v>
      </c>
      <c r="P10" s="36">
        <v>4</v>
      </c>
      <c r="Q10" s="36">
        <v>4</v>
      </c>
      <c r="R10" s="5"/>
      <c r="S10" s="114"/>
      <c r="T10" s="114"/>
      <c r="U10" s="115">
        <f t="shared" si="24"/>
        <v>0</v>
      </c>
      <c r="V10" s="116"/>
      <c r="W10" s="114"/>
      <c r="X10" s="114"/>
      <c r="Y10" s="115">
        <f t="shared" si="1"/>
        <v>0</v>
      </c>
      <c r="Z10" s="116"/>
      <c r="AA10" s="114">
        <v>35</v>
      </c>
      <c r="AB10" s="114">
        <v>36</v>
      </c>
      <c r="AC10" s="115">
        <f t="shared" si="2"/>
        <v>71</v>
      </c>
      <c r="AD10" s="114"/>
      <c r="AE10" s="114"/>
      <c r="AF10" s="114"/>
      <c r="AG10" s="115">
        <f t="shared" si="3"/>
        <v>0</v>
      </c>
      <c r="AH10" s="116"/>
      <c r="AI10" s="114"/>
      <c r="AJ10" s="114"/>
      <c r="AK10" s="115">
        <f t="shared" si="4"/>
        <v>0</v>
      </c>
      <c r="AL10" s="116"/>
      <c r="AM10" s="114"/>
      <c r="AN10" s="114"/>
      <c r="AO10" s="115">
        <f t="shared" si="5"/>
        <v>0</v>
      </c>
      <c r="AP10" s="116"/>
      <c r="AQ10" s="114"/>
      <c r="AR10" s="114"/>
      <c r="AS10" s="115">
        <f t="shared" si="6"/>
        <v>0</v>
      </c>
      <c r="AT10" s="114"/>
      <c r="AU10" s="114"/>
      <c r="AV10" s="114"/>
      <c r="AW10" s="117">
        <f t="shared" si="25"/>
        <v>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>
        <v>40</v>
      </c>
      <c r="BH10" s="114">
        <v>28</v>
      </c>
      <c r="BI10" s="115">
        <f t="shared" si="9"/>
        <v>68</v>
      </c>
      <c r="BJ10" s="114"/>
      <c r="BK10" s="114"/>
      <c r="BL10" s="114"/>
      <c r="BM10" s="115">
        <f t="shared" si="10"/>
        <v>0</v>
      </c>
      <c r="BN10" s="114"/>
      <c r="BO10" s="114">
        <v>34</v>
      </c>
      <c r="BP10" s="114">
        <v>42</v>
      </c>
      <c r="BQ10" s="115">
        <f t="shared" si="11"/>
        <v>76</v>
      </c>
      <c r="BR10" s="114"/>
      <c r="BS10" s="114">
        <v>38</v>
      </c>
      <c r="BT10" s="114">
        <v>47</v>
      </c>
      <c r="BU10" s="115">
        <f t="shared" si="12"/>
        <v>85</v>
      </c>
      <c r="BV10" s="114"/>
      <c r="BW10" s="114">
        <v>35</v>
      </c>
      <c r="BX10" s="114">
        <v>53</v>
      </c>
      <c r="BY10" s="115">
        <f t="shared" si="13"/>
        <v>88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>
        <v>34</v>
      </c>
      <c r="CR10" s="114">
        <v>42</v>
      </c>
      <c r="CS10" s="115">
        <f t="shared" si="18"/>
        <v>76</v>
      </c>
      <c r="CT10" s="114"/>
      <c r="CU10" s="114">
        <v>38</v>
      </c>
      <c r="CV10" s="114">
        <v>47</v>
      </c>
      <c r="CW10" s="115">
        <f t="shared" si="19"/>
        <v>85</v>
      </c>
      <c r="CX10" s="114"/>
      <c r="CY10" s="114">
        <v>35</v>
      </c>
      <c r="CZ10" s="114">
        <v>53</v>
      </c>
      <c r="DA10" s="115">
        <f t="shared" si="20"/>
        <v>88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637</v>
      </c>
      <c r="DQ10" s="129">
        <f t="shared" si="27"/>
        <v>0.79625000000000001</v>
      </c>
      <c r="DS10" s="110" t="str">
        <f>IFERROR(RANK(DQ10,$DQ$6:$DQ$70)&amp;LOOKUP(RANK(DQ10,$DQ$6:$DQ$70),{1,2,3,4;"st","nd","rd","th"}),"-")</f>
        <v>1st</v>
      </c>
    </row>
    <row r="11" spans="1:123">
      <c r="A11" s="178">
        <v>6</v>
      </c>
      <c r="B11" s="182" t="s">
        <v>114</v>
      </c>
      <c r="C11" s="179">
        <v>120</v>
      </c>
      <c r="D11" s="34">
        <v>88</v>
      </c>
      <c r="E11" s="35">
        <v>22</v>
      </c>
      <c r="F11"/>
      <c r="G11" s="34">
        <v>3</v>
      </c>
      <c r="H11" s="34">
        <v>3</v>
      </c>
      <c r="I11" s="34">
        <v>3</v>
      </c>
      <c r="J11" s="34">
        <v>3</v>
      </c>
      <c r="K11" s="5"/>
      <c r="L11" s="36">
        <v>4</v>
      </c>
      <c r="M11" s="36">
        <v>4</v>
      </c>
      <c r="N11" s="36">
        <v>4</v>
      </c>
      <c r="O11" s="36">
        <v>4</v>
      </c>
      <c r="P11" s="36">
        <v>4</v>
      </c>
      <c r="Q11" s="36">
        <v>4</v>
      </c>
      <c r="R11" s="5"/>
      <c r="S11" s="114"/>
      <c r="T11" s="114"/>
      <c r="U11" s="115">
        <f t="shared" si="24"/>
        <v>0</v>
      </c>
      <c r="V11" s="116"/>
      <c r="W11" s="114"/>
      <c r="X11" s="114"/>
      <c r="Y11" s="115">
        <f t="shared" si="1"/>
        <v>0</v>
      </c>
      <c r="Z11" s="116"/>
      <c r="AA11" s="114">
        <v>33</v>
      </c>
      <c r="AB11" s="114">
        <v>35</v>
      </c>
      <c r="AC11" s="115">
        <f t="shared" si="2"/>
        <v>68</v>
      </c>
      <c r="AD11" s="114"/>
      <c r="AE11" s="114"/>
      <c r="AF11" s="114"/>
      <c r="AG11" s="115">
        <f t="shared" si="3"/>
        <v>0</v>
      </c>
      <c r="AH11" s="116"/>
      <c r="AI11" s="114"/>
      <c r="AJ11" s="114"/>
      <c r="AK11" s="115">
        <f t="shared" si="4"/>
        <v>0</v>
      </c>
      <c r="AL11" s="116"/>
      <c r="AM11" s="114"/>
      <c r="AN11" s="114"/>
      <c r="AO11" s="115">
        <f t="shared" si="5"/>
        <v>0</v>
      </c>
      <c r="AP11" s="116"/>
      <c r="AQ11" s="114"/>
      <c r="AR11" s="114"/>
      <c r="AS11" s="115">
        <f t="shared" si="6"/>
        <v>0</v>
      </c>
      <c r="AT11" s="114"/>
      <c r="AU11" s="114"/>
      <c r="AV11" s="114"/>
      <c r="AW11" s="117">
        <f t="shared" si="25"/>
        <v>0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>
        <v>27</v>
      </c>
      <c r="BH11" s="114">
        <v>51</v>
      </c>
      <c r="BI11" s="115">
        <f t="shared" si="9"/>
        <v>78</v>
      </c>
      <c r="BJ11" s="114"/>
      <c r="BK11" s="114"/>
      <c r="BL11" s="114"/>
      <c r="BM11" s="115">
        <f t="shared" si="10"/>
        <v>0</v>
      </c>
      <c r="BN11" s="114"/>
      <c r="BO11" s="114">
        <v>34</v>
      </c>
      <c r="BP11" s="114">
        <v>39</v>
      </c>
      <c r="BQ11" s="115">
        <f t="shared" si="11"/>
        <v>73</v>
      </c>
      <c r="BR11" s="114"/>
      <c r="BS11" s="114"/>
      <c r="BT11" s="114"/>
      <c r="BU11" s="115">
        <f t="shared" si="12"/>
        <v>0</v>
      </c>
      <c r="BV11" s="114"/>
      <c r="BW11" s="114"/>
      <c r="BX11" s="114"/>
      <c r="BY11" s="115">
        <f t="shared" si="13"/>
        <v>0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>
        <v>34</v>
      </c>
      <c r="CR11" s="114">
        <v>39</v>
      </c>
      <c r="CS11" s="115">
        <f t="shared" si="18"/>
        <v>73</v>
      </c>
      <c r="CT11" s="114"/>
      <c r="CU11" s="114"/>
      <c r="CV11" s="114"/>
      <c r="CW11" s="115">
        <f t="shared" si="19"/>
        <v>0</v>
      </c>
      <c r="CX11" s="114"/>
      <c r="CY11" s="114"/>
      <c r="CZ11" s="114"/>
      <c r="DA11" s="115">
        <f t="shared" si="20"/>
        <v>0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292</v>
      </c>
      <c r="DQ11" s="129">
        <f t="shared" si="27"/>
        <v>0.73</v>
      </c>
      <c r="DS11" s="110" t="str">
        <f>IFERROR(RANK(DQ11,$DQ$6:$DQ$70)&amp;LOOKUP(RANK(DQ11,$DQ$6:$DQ$70),{1,2,3,4;"st","nd","rd","th"}),"-")</f>
        <v>2nd</v>
      </c>
    </row>
    <row r="12" spans="1:123">
      <c r="A12" s="178">
        <v>7</v>
      </c>
      <c r="B12" s="182" t="s">
        <v>115</v>
      </c>
      <c r="C12" s="179"/>
      <c r="D12" s="34"/>
      <c r="E12" s="35"/>
      <c r="F12"/>
      <c r="G12" s="34"/>
      <c r="H12" s="34"/>
      <c r="I12" s="34"/>
      <c r="J12" s="34"/>
      <c r="K12" s="5"/>
      <c r="L12" s="36"/>
      <c r="M12" s="36"/>
      <c r="N12" s="36"/>
      <c r="O12" s="36"/>
      <c r="P12" s="36"/>
      <c r="Q12" s="36"/>
      <c r="R12" s="5"/>
      <c r="S12" s="114"/>
      <c r="T12" s="114"/>
      <c r="U12" s="115">
        <f t="shared" si="24"/>
        <v>0</v>
      </c>
      <c r="V12" s="116"/>
      <c r="W12" s="114"/>
      <c r="X12" s="114"/>
      <c r="Y12" s="115">
        <f t="shared" si="1"/>
        <v>0</v>
      </c>
      <c r="Z12" s="116"/>
      <c r="AA12" s="114"/>
      <c r="AB12" s="114"/>
      <c r="AC12" s="115">
        <f t="shared" si="2"/>
        <v>0</v>
      </c>
      <c r="AD12" s="114"/>
      <c r="AE12" s="114"/>
      <c r="AF12" s="114"/>
      <c r="AG12" s="115">
        <f t="shared" si="3"/>
        <v>0</v>
      </c>
      <c r="AH12" s="116"/>
      <c r="AI12" s="114"/>
      <c r="AJ12" s="114"/>
      <c r="AK12" s="115">
        <f t="shared" si="4"/>
        <v>0</v>
      </c>
      <c r="AL12" s="116"/>
      <c r="AM12" s="114"/>
      <c r="AN12" s="114"/>
      <c r="AO12" s="115">
        <f t="shared" si="5"/>
        <v>0</v>
      </c>
      <c r="AP12" s="116"/>
      <c r="AQ12" s="114"/>
      <c r="AR12" s="114"/>
      <c r="AS12" s="115">
        <f t="shared" si="6"/>
        <v>0</v>
      </c>
      <c r="AT12" s="114"/>
      <c r="AU12" s="114"/>
      <c r="AV12" s="114"/>
      <c r="AW12" s="117">
        <f t="shared" si="25"/>
        <v>0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/>
      <c r="BP12" s="114"/>
      <c r="BQ12" s="115">
        <f t="shared" si="11"/>
        <v>0</v>
      </c>
      <c r="BR12" s="114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/>
      <c r="CR12" s="114"/>
      <c r="CS12" s="115">
        <f t="shared" si="18"/>
        <v>0</v>
      </c>
      <c r="CT12" s="114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0</v>
      </c>
      <c r="DQ12" s="129" t="str">
        <f t="shared" si="27"/>
        <v>-</v>
      </c>
      <c r="DS12" s="110" t="str">
        <f>IFERROR(RANK(DQ12,$DQ$6:$DQ$70)&amp;LOOKUP(RANK(DQ12,$DQ$6:$DQ$70),{1,2,3,4;"st","nd","rd","th"}),"-")</f>
        <v>-</v>
      </c>
    </row>
    <row r="13" spans="1:123">
      <c r="A13" s="178">
        <v>8</v>
      </c>
      <c r="B13" s="182" t="s">
        <v>116</v>
      </c>
      <c r="C13" s="179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/>
      <c r="R13" s="5"/>
      <c r="S13" s="114"/>
      <c r="T13" s="114"/>
      <c r="U13" s="115">
        <f t="shared" si="24"/>
        <v>0</v>
      </c>
      <c r="V13" s="116"/>
      <c r="W13" s="114"/>
      <c r="X13" s="114"/>
      <c r="Y13" s="115">
        <f t="shared" si="1"/>
        <v>0</v>
      </c>
      <c r="Z13" s="116"/>
      <c r="AA13" s="114">
        <v>31</v>
      </c>
      <c r="AB13" s="114">
        <v>26</v>
      </c>
      <c r="AC13" s="115">
        <f t="shared" si="2"/>
        <v>57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si="25"/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>
        <v>18</v>
      </c>
      <c r="BH13" s="114">
        <v>37</v>
      </c>
      <c r="BI13" s="115">
        <f t="shared" si="9"/>
        <v>55</v>
      </c>
      <c r="BJ13" s="114"/>
      <c r="BK13" s="114"/>
      <c r="BL13" s="114"/>
      <c r="BM13" s="115">
        <f t="shared" si="10"/>
        <v>0</v>
      </c>
      <c r="BN13" s="114"/>
      <c r="BO13" s="114">
        <v>30</v>
      </c>
      <c r="BP13" s="114">
        <v>22</v>
      </c>
      <c r="BQ13" s="115">
        <f t="shared" si="11"/>
        <v>52</v>
      </c>
      <c r="BR13" s="114"/>
      <c r="BS13" s="114">
        <v>20</v>
      </c>
      <c r="BT13" s="114"/>
      <c r="BU13" s="115">
        <f t="shared" si="12"/>
        <v>20</v>
      </c>
      <c r="BV13" s="114"/>
      <c r="BW13" s="114"/>
      <c r="BX13" s="114">
        <v>40</v>
      </c>
      <c r="BY13" s="115">
        <f t="shared" si="13"/>
        <v>40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>
        <v>30</v>
      </c>
      <c r="CR13" s="114">
        <v>22</v>
      </c>
      <c r="CS13" s="115">
        <f t="shared" si="18"/>
        <v>52</v>
      </c>
      <c r="CT13" s="114"/>
      <c r="CU13" s="114">
        <v>20</v>
      </c>
      <c r="CV13" s="114"/>
      <c r="CW13" s="115">
        <f t="shared" si="19"/>
        <v>20</v>
      </c>
      <c r="CX13" s="114"/>
      <c r="CY13" s="114"/>
      <c r="CZ13" s="114">
        <v>40</v>
      </c>
      <c r="DA13" s="115">
        <f t="shared" si="20"/>
        <v>40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336</v>
      </c>
      <c r="DQ13" s="129">
        <f t="shared" si="27"/>
        <v>0.42</v>
      </c>
      <c r="DS13" s="110" t="str">
        <f>IFERROR(RANK(DQ13,$DQ$6:$DQ$70)&amp;LOOKUP(RANK(DQ13,$DQ$6:$DQ$70),{1,2,3,4;"st","nd","rd","th"}),"-")</f>
        <v>7th</v>
      </c>
    </row>
    <row r="14" spans="1:123">
      <c r="A14" s="178">
        <v>9</v>
      </c>
      <c r="B14" s="182" t="s">
        <v>117</v>
      </c>
      <c r="C14" s="179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4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5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14"/>
      <c r="BQ14" s="115">
        <f t="shared" si="11"/>
        <v>0</v>
      </c>
      <c r="BR14" s="114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14"/>
      <c r="CS14" s="115">
        <f t="shared" si="18"/>
        <v>0</v>
      </c>
      <c r="CT14" s="114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Q14" s="129" t="str">
        <f t="shared" si="27"/>
        <v>-</v>
      </c>
      <c r="DS14" s="110" t="str">
        <f>IFERROR(RANK(DQ14,$DQ$6:$DQ$70)&amp;LOOKUP(RANK(DQ14,$DQ$6:$DQ$70),{1,2,3,4;"st","nd","rd","th"}),"-")</f>
        <v>-</v>
      </c>
    </row>
    <row r="15" spans="1:123">
      <c r="A15" s="178">
        <v>10</v>
      </c>
      <c r="B15" s="182" t="s">
        <v>118</v>
      </c>
      <c r="C15" s="179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4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5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15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15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Q15" s="129" t="str">
        <f t="shared" si="27"/>
        <v>-</v>
      </c>
      <c r="DS15" s="110" t="str">
        <f>IFERROR(RANK(DQ15,$DQ$6:$DQ$70)&amp;LOOKUP(RANK(DQ15,$DQ$6:$DQ$70),{1,2,3,4;"st","nd","rd","th"}),"-")</f>
        <v>-</v>
      </c>
    </row>
    <row r="16" spans="1:123">
      <c r="A16" s="178">
        <v>11</v>
      </c>
      <c r="B16" s="182" t="s">
        <v>119</v>
      </c>
      <c r="C16" s="179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4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5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Q16" s="129" t="str">
        <f t="shared" si="27"/>
        <v>-</v>
      </c>
      <c r="DS16" s="110" t="str">
        <f>IFERROR(RANK(DQ16,$DQ$6:$DQ$70)&amp;LOOKUP(RANK(DQ16,$DQ$6:$DQ$70),{1,2,3,4;"st","nd","rd","th"}),"-")</f>
        <v>-</v>
      </c>
    </row>
    <row r="17" spans="1:123">
      <c r="A17" s="178">
        <v>12</v>
      </c>
      <c r="B17" s="182" t="s">
        <v>168</v>
      </c>
      <c r="C17" s="179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4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5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Q17" s="129" t="str">
        <f t="shared" si="27"/>
        <v>-</v>
      </c>
      <c r="DS17" s="110" t="str">
        <f>IFERROR(RANK(DQ17,$DQ$6:$DQ$70)&amp;LOOKUP(RANK(DQ17,$DQ$6:$DQ$70),{1,2,3,4;"st","nd","rd","th"}),"-")</f>
        <v>-</v>
      </c>
    </row>
    <row r="18" spans="1:123">
      <c r="A18" s="178">
        <v>13</v>
      </c>
      <c r="B18" s="182" t="s">
        <v>130</v>
      </c>
      <c r="C18" s="179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4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5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Q18" s="129" t="str">
        <f t="shared" si="27"/>
        <v>-</v>
      </c>
      <c r="DS18" s="110" t="str">
        <f>IFERROR(RANK(DQ18,$DQ$6:$DQ$70)&amp;LOOKUP(RANK(DQ18,$DQ$6:$DQ$70),{1,2,3,4;"st","nd","rd","th"}),"-")</f>
        <v>-</v>
      </c>
    </row>
    <row r="19" spans="1:123">
      <c r="A19" s="178">
        <v>14</v>
      </c>
      <c r="B19" s="182" t="s">
        <v>131</v>
      </c>
      <c r="C19" s="179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4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5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Q19" s="129" t="str">
        <f t="shared" si="27"/>
        <v>-</v>
      </c>
      <c r="DS19" s="110" t="str">
        <f>IFERROR(RANK(DQ19,$DQ$6:$DQ$70)&amp;LOOKUP(RANK(DQ19,$DQ$6:$DQ$70),{1,2,3,4;"st","nd","rd","th"}),"-")</f>
        <v>-</v>
      </c>
    </row>
    <row r="20" spans="1:123">
      <c r="A20" s="178">
        <v>15</v>
      </c>
      <c r="B20" s="182" t="s">
        <v>132</v>
      </c>
      <c r="C20" s="179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4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5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Q20" s="129" t="str">
        <f t="shared" si="27"/>
        <v>-</v>
      </c>
      <c r="DS20" s="110" t="str">
        <f>IFERROR(RANK(DQ20,$DQ$6:$DQ$70)&amp;LOOKUP(RANK(DQ20,$DQ$6:$DQ$70),{1,2,3,4;"st","nd","rd","th"}),"-")</f>
        <v>-</v>
      </c>
    </row>
    <row r="21" spans="1:123">
      <c r="A21" s="178">
        <v>16</v>
      </c>
      <c r="B21" s="182" t="s">
        <v>133</v>
      </c>
      <c r="C21" s="179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4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5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Q21" s="129" t="str">
        <f t="shared" si="27"/>
        <v>-</v>
      </c>
      <c r="DS21" s="110" t="str">
        <f>IFERROR(RANK(DQ21,$DQ$6:$DQ$70)&amp;LOOKUP(RANK(DQ21,$DQ$6:$DQ$70),{1,2,3,4;"st","nd","rd","th"}),"-")</f>
        <v>-</v>
      </c>
    </row>
    <row r="22" spans="1:123">
      <c r="A22" s="178">
        <v>17</v>
      </c>
      <c r="B22" s="182" t="s">
        <v>134</v>
      </c>
      <c r="C22" s="179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4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5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Q22" s="129" t="str">
        <f t="shared" si="27"/>
        <v>-</v>
      </c>
      <c r="DS22" s="110" t="str">
        <f>IFERROR(RANK(DQ22,$DQ$6:$DQ$70)&amp;LOOKUP(RANK(DQ22,$DQ$6:$DQ$70),{1,2,3,4;"st","nd","rd","th"}),"-")</f>
        <v>-</v>
      </c>
    </row>
    <row r="23" spans="1:123">
      <c r="A23" s="178">
        <v>18</v>
      </c>
      <c r="B23" s="182" t="s">
        <v>135</v>
      </c>
      <c r="C23" s="179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4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5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Q23" s="129" t="str">
        <f t="shared" si="27"/>
        <v>-</v>
      </c>
      <c r="DS23" s="110" t="str">
        <f>IFERROR(RANK(DQ23,$DQ$6:$DQ$70)&amp;LOOKUP(RANK(DQ23,$DQ$6:$DQ$70),{1,2,3,4;"st","nd","rd","th"}),"-")</f>
        <v>-</v>
      </c>
    </row>
    <row r="24" spans="1:123">
      <c r="A24" s="75">
        <v>19</v>
      </c>
      <c r="B24" s="181" t="s">
        <v>136</v>
      </c>
      <c r="C24" s="33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4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5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Q24" s="129" t="str">
        <f t="shared" si="27"/>
        <v>-</v>
      </c>
      <c r="DS24" s="110" t="str">
        <f>IFERROR(RANK(DQ24,$DQ$6:$DQ$70)&amp;LOOKUP(RANK(DQ24,$DQ$6:$DQ$70),{1,2,3,4;"st","nd","rd","th"}),"-")</f>
        <v>-</v>
      </c>
    </row>
    <row r="25" spans="1:123">
      <c r="A25" s="75">
        <v>20</v>
      </c>
      <c r="B25" s="74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4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5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Q25" s="129" t="str">
        <f t="shared" si="27"/>
        <v>-</v>
      </c>
      <c r="DS25" s="110" t="str">
        <f>IFERROR(RANK(DQ25,$DQ$6:$DQ$70)&amp;LOOKUP(RANK(DQ25,$DQ$6:$DQ$70),{1,2,3,4;"st","nd","rd","th"}),"-")</f>
        <v>-</v>
      </c>
    </row>
    <row r="26" spans="1:123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4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5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Q26" s="129" t="str">
        <f t="shared" si="27"/>
        <v>-</v>
      </c>
      <c r="DS26" s="110" t="str">
        <f>IFERROR(RANK(DQ26,$DQ$6:$DQ$70)&amp;LOOKUP(RANK(DQ26,$DQ$6:$DQ$70),{1,2,3,4;"st","nd","rd","th"}),"-")</f>
        <v>-</v>
      </c>
    </row>
    <row r="27" spans="1:123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4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5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Q27" s="129" t="str">
        <f t="shared" si="27"/>
        <v>-</v>
      </c>
      <c r="DS27" s="110" t="str">
        <f>IFERROR(RANK(DQ27,$DQ$6:$DQ$70)&amp;LOOKUP(RANK(DQ27,$DQ$6:$DQ$70),{1,2,3,4;"st","nd","rd","th"}),"-")</f>
        <v>-</v>
      </c>
    </row>
    <row r="28" spans="1:123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4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5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Q28" s="129" t="str">
        <f t="shared" si="27"/>
        <v>-</v>
      </c>
      <c r="DS28" s="110" t="str">
        <f>IFERROR(RANK(DQ28,$DQ$6:$DQ$70)&amp;LOOKUP(RANK(DQ28,$DQ$6:$DQ$70),{1,2,3,4;"st","nd","rd","th"}),"-")</f>
        <v>-</v>
      </c>
    </row>
    <row r="29" spans="1:123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4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5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Q29" s="129" t="str">
        <f t="shared" si="27"/>
        <v>-</v>
      </c>
      <c r="DS29" s="110" t="str">
        <f>IFERROR(RANK(DQ29,$DQ$6:$DQ$70)&amp;LOOKUP(RANK(DQ29,$DQ$6:$DQ$70),{1,2,3,4;"st","nd","rd","th"}),"-")</f>
        <v>-</v>
      </c>
    </row>
    <row r="30" spans="1:123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4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5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Q30" s="129" t="str">
        <f t="shared" si="27"/>
        <v>-</v>
      </c>
      <c r="DS30" s="110" t="str">
        <f>IFERROR(RANK(DQ30,$DQ$6:$DQ$70)&amp;LOOKUP(RANK(DQ30,$DQ$6:$DQ$70),{1,2,3,4;"st","nd","rd","th"}),"-")</f>
        <v>-</v>
      </c>
    </row>
    <row r="31" spans="1:123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4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5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Q31" s="129" t="str">
        <f t="shared" si="27"/>
        <v>-</v>
      </c>
      <c r="DS31" s="110" t="str">
        <f>IFERROR(RANK(DQ31,$DQ$6:$DQ$70)&amp;LOOKUP(RANK(DQ31,$DQ$6:$DQ$70),{1,2,3,4;"st","nd","rd","th"}),"-")</f>
        <v>-</v>
      </c>
    </row>
    <row r="32" spans="1:123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4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5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Q32" s="129" t="str">
        <f t="shared" si="27"/>
        <v>-</v>
      </c>
      <c r="DS32" s="110" t="str">
        <f>IFERROR(RANK(DQ32,$DQ$6:$DQ$70)&amp;LOOKUP(RANK(DQ32,$DQ$6:$DQ$70),{1,2,3,4;"st","nd","rd","th"}),"-")</f>
        <v>-</v>
      </c>
    </row>
    <row r="33" spans="1:123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4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5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Q33" s="129" t="str">
        <f t="shared" si="27"/>
        <v>-</v>
      </c>
      <c r="DS33" s="110" t="str">
        <f>IFERROR(RANK(DQ33,$DQ$6:$DQ$70)&amp;LOOKUP(RANK(DQ33,$DQ$6:$DQ$70),{1,2,3,4;"st","nd","rd","th"}),"-")</f>
        <v>-</v>
      </c>
    </row>
    <row r="34" spans="1:123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4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5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Q34" s="129" t="str">
        <f t="shared" si="27"/>
        <v>-</v>
      </c>
      <c r="DS34" s="110" t="str">
        <f>IFERROR(RANK(DQ34,$DQ$6:$DQ$70)&amp;LOOKUP(RANK(DQ34,$DQ$6:$DQ$70),{1,2,3,4;"st","nd","rd","th"}),"-")</f>
        <v>-</v>
      </c>
    </row>
    <row r="35" spans="1:123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4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5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Q35" s="129" t="str">
        <f t="shared" si="27"/>
        <v>-</v>
      </c>
      <c r="DS35" s="110" t="str">
        <f>IFERROR(RANK(DQ35,$DQ$6:$DQ$70)&amp;LOOKUP(RANK(DQ35,$DQ$6:$DQ$70),{1,2,3,4;"st","nd","rd","th"}),"-")</f>
        <v>-</v>
      </c>
    </row>
    <row r="36" spans="1:123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4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5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Q36" s="129" t="str">
        <f t="shared" si="27"/>
        <v>-</v>
      </c>
      <c r="DS36" s="110" t="str">
        <f>IFERROR(RANK(DQ36,$DQ$6:$DQ$70)&amp;LOOKUP(RANK(DQ36,$DQ$6:$DQ$70),{1,2,3,4;"st","nd","rd","th"}),"-")</f>
        <v>-</v>
      </c>
    </row>
    <row r="37" spans="1:123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4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5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si="22"/>
        <v>0</v>
      </c>
      <c r="DK37" s="114"/>
      <c r="DL37" s="114"/>
      <c r="DM37" s="115">
        <f t="shared" si="23"/>
        <v>0</v>
      </c>
      <c r="DO37" s="107">
        <f t="shared" si="26"/>
        <v>0</v>
      </c>
      <c r="DQ37" s="129" t="str">
        <f t="shared" si="27"/>
        <v>-</v>
      </c>
      <c r="DS37" s="110" t="str">
        <f>IFERROR(RANK(DQ37,$DQ$6:$DQ$70)&amp;LOOKUP(RANK(DQ37,$DQ$6:$DQ$70),{1,2,3,4;"st","nd","rd","th"}),"-")</f>
        <v>-</v>
      </c>
    </row>
    <row r="38" spans="1:123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4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70" si="28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2"/>
        <v>0</v>
      </c>
      <c r="DK38" s="114"/>
      <c r="DL38" s="114"/>
      <c r="DM38" s="115">
        <f t="shared" si="23"/>
        <v>0</v>
      </c>
      <c r="DO38" s="107">
        <f t="shared" ref="DO38:DO70" si="29">SUMIF($S$4:$DM$4,$DM$4,$S38:$DM38)</f>
        <v>0</v>
      </c>
      <c r="DQ38" s="129" t="str">
        <f t="shared" ref="DQ38:DQ70" si="30">IFERROR(DO38/(COUNTIFS($S38:$DM38,"&gt;0",$S$4:$DM$4,$DM$4)*100),"-")</f>
        <v>-</v>
      </c>
      <c r="DS38" s="110" t="str">
        <f>IFERROR(RANK(DQ38,$DQ$6:$DQ$70)&amp;LOOKUP(RANK(DQ38,$DQ$6:$DQ$70),{1,2,3,4;"st","nd","rd","th"}),"-")</f>
        <v>-</v>
      </c>
    </row>
    <row r="39" spans="1:123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4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28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2"/>
        <v>0</v>
      </c>
      <c r="DK39" s="114"/>
      <c r="DL39" s="114"/>
      <c r="DM39" s="115">
        <f t="shared" si="23"/>
        <v>0</v>
      </c>
      <c r="DO39" s="107">
        <f t="shared" si="29"/>
        <v>0</v>
      </c>
      <c r="DQ39" s="129" t="str">
        <f t="shared" si="30"/>
        <v>-</v>
      </c>
      <c r="DS39" s="110" t="str">
        <f>IFERROR(RANK(DQ39,$DQ$6:$DQ$70)&amp;LOOKUP(RANK(DQ39,$DQ$6:$DQ$70),{1,2,3,4;"st","nd","rd","th"}),"-")</f>
        <v>-</v>
      </c>
    </row>
    <row r="40" spans="1:123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4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28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2"/>
        <v>0</v>
      </c>
      <c r="DK40" s="114"/>
      <c r="DL40" s="114"/>
      <c r="DM40" s="115">
        <f t="shared" si="23"/>
        <v>0</v>
      </c>
      <c r="DO40" s="107">
        <f t="shared" si="29"/>
        <v>0</v>
      </c>
      <c r="DQ40" s="129" t="str">
        <f t="shared" si="30"/>
        <v>-</v>
      </c>
      <c r="DS40" s="110" t="str">
        <f>IFERROR(RANK(DQ40,$DQ$6:$DQ$70)&amp;LOOKUP(RANK(DQ40,$DQ$6:$DQ$70),{1,2,3,4;"st","nd","rd","th"}),"-")</f>
        <v>-</v>
      </c>
    </row>
    <row r="41" spans="1:123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4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28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2"/>
        <v>0</v>
      </c>
      <c r="DK41" s="114"/>
      <c r="DL41" s="114"/>
      <c r="DM41" s="115">
        <f t="shared" si="23"/>
        <v>0</v>
      </c>
      <c r="DO41" s="107">
        <f t="shared" si="29"/>
        <v>0</v>
      </c>
      <c r="DQ41" s="129" t="str">
        <f t="shared" si="30"/>
        <v>-</v>
      </c>
      <c r="DS41" s="110" t="str">
        <f>IFERROR(RANK(DQ41,$DQ$6:$DQ$70)&amp;LOOKUP(RANK(DQ41,$DQ$6:$DQ$70),{1,2,3,4;"st","nd","rd","th"}),"-")</f>
        <v>-</v>
      </c>
    </row>
    <row r="42" spans="1:123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4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28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2"/>
        <v>0</v>
      </c>
      <c r="DK42" s="114"/>
      <c r="DL42" s="114"/>
      <c r="DM42" s="115">
        <f t="shared" si="23"/>
        <v>0</v>
      </c>
      <c r="DO42" s="107">
        <f t="shared" si="29"/>
        <v>0</v>
      </c>
      <c r="DQ42" s="129" t="str">
        <f t="shared" si="30"/>
        <v>-</v>
      </c>
      <c r="DS42" s="110" t="str">
        <f>IFERROR(RANK(DQ42,$DQ$6:$DQ$70)&amp;LOOKUP(RANK(DQ42,$DQ$6:$DQ$70),{1,2,3,4;"st","nd","rd","th"}),"-")</f>
        <v>-</v>
      </c>
    </row>
    <row r="43" spans="1:123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4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28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2"/>
        <v>0</v>
      </c>
      <c r="DK43" s="114"/>
      <c r="DL43" s="114"/>
      <c r="DM43" s="115">
        <f t="shared" si="23"/>
        <v>0</v>
      </c>
      <c r="DO43" s="107">
        <f t="shared" si="29"/>
        <v>0</v>
      </c>
      <c r="DQ43" s="129" t="str">
        <f t="shared" si="30"/>
        <v>-</v>
      </c>
      <c r="DS43" s="110" t="str">
        <f>IFERROR(RANK(DQ43,$DQ$6:$DQ$70)&amp;LOOKUP(RANK(DQ43,$DQ$6:$DQ$70),{1,2,3,4;"st","nd","rd","th"}),"-")</f>
        <v>-</v>
      </c>
    </row>
    <row r="44" spans="1:123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4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28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2"/>
        <v>0</v>
      </c>
      <c r="DK44" s="114"/>
      <c r="DL44" s="114"/>
      <c r="DM44" s="115">
        <f t="shared" si="23"/>
        <v>0</v>
      </c>
      <c r="DO44" s="107">
        <f t="shared" si="29"/>
        <v>0</v>
      </c>
      <c r="DQ44" s="129" t="str">
        <f t="shared" si="30"/>
        <v>-</v>
      </c>
      <c r="DS44" s="110" t="str">
        <f>IFERROR(RANK(DQ44,$DQ$6:$DQ$70)&amp;LOOKUP(RANK(DQ44,$DQ$6:$DQ$70),{1,2,3,4;"st","nd","rd","th"}),"-")</f>
        <v>-</v>
      </c>
    </row>
    <row r="45" spans="1:123" ht="1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4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28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2"/>
        <v>0</v>
      </c>
      <c r="DK45" s="114"/>
      <c r="DL45" s="114"/>
      <c r="DM45" s="115">
        <f t="shared" si="23"/>
        <v>0</v>
      </c>
      <c r="DO45" s="107">
        <f t="shared" si="29"/>
        <v>0</v>
      </c>
      <c r="DQ45" s="129" t="str">
        <f t="shared" si="30"/>
        <v>-</v>
      </c>
      <c r="DS45" s="110" t="str">
        <f>IFERROR(RANK(DQ45,$DQ$6:$DQ$70)&amp;LOOKUP(RANK(DQ45,$DQ$6:$DQ$70),{1,2,3,4;"st","nd","rd","th"}),"-")</f>
        <v>-</v>
      </c>
    </row>
    <row r="46" spans="1:123" ht="1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4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28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2"/>
        <v>0</v>
      </c>
      <c r="DK46" s="114"/>
      <c r="DL46" s="114"/>
      <c r="DM46" s="115">
        <f t="shared" si="23"/>
        <v>0</v>
      </c>
      <c r="DO46" s="107">
        <f t="shared" si="29"/>
        <v>0</v>
      </c>
      <c r="DQ46" s="129" t="str">
        <f t="shared" si="30"/>
        <v>-</v>
      </c>
      <c r="DS46" s="110" t="str">
        <f>IFERROR(RANK(DQ46,$DQ$6:$DQ$70)&amp;LOOKUP(RANK(DQ46,$DQ$6:$DQ$70),{1,2,3,4;"st","nd","rd","th"}),"-")</f>
        <v>-</v>
      </c>
    </row>
    <row r="47" spans="1:123" ht="1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4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28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2"/>
        <v>0</v>
      </c>
      <c r="DK47" s="114"/>
      <c r="DL47" s="114"/>
      <c r="DM47" s="115">
        <f t="shared" si="23"/>
        <v>0</v>
      </c>
      <c r="DO47" s="107">
        <f t="shared" si="29"/>
        <v>0</v>
      </c>
      <c r="DQ47" s="129" t="str">
        <f t="shared" si="30"/>
        <v>-</v>
      </c>
      <c r="DS47" s="110" t="str">
        <f>IFERROR(RANK(DQ47,$DQ$6:$DQ$70)&amp;LOOKUP(RANK(DQ47,$DQ$6:$DQ$70),{1,2,3,4;"st","nd","rd","th"}),"-")</f>
        <v>-</v>
      </c>
    </row>
    <row r="48" spans="1:123" ht="1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4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28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2"/>
        <v>0</v>
      </c>
      <c r="DK48" s="114"/>
      <c r="DL48" s="114"/>
      <c r="DM48" s="115">
        <f t="shared" si="23"/>
        <v>0</v>
      </c>
      <c r="DO48" s="107">
        <f t="shared" si="29"/>
        <v>0</v>
      </c>
      <c r="DQ48" s="129" t="str">
        <f t="shared" si="30"/>
        <v>-</v>
      </c>
      <c r="DS48" s="110" t="str">
        <f>IFERROR(RANK(DQ48,$DQ$6:$DQ$70)&amp;LOOKUP(RANK(DQ48,$DQ$6:$DQ$70),{1,2,3,4;"st","nd","rd","th"}),"-")</f>
        <v>-</v>
      </c>
    </row>
    <row r="49" spans="1:123" ht="1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4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28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2"/>
        <v>0</v>
      </c>
      <c r="DK49" s="114"/>
      <c r="DL49" s="114"/>
      <c r="DM49" s="115">
        <f t="shared" si="23"/>
        <v>0</v>
      </c>
      <c r="DO49" s="107">
        <f t="shared" si="29"/>
        <v>0</v>
      </c>
      <c r="DQ49" s="129" t="str">
        <f t="shared" si="30"/>
        <v>-</v>
      </c>
      <c r="DS49" s="110" t="str">
        <f>IFERROR(RANK(DQ49,$DQ$6:$DQ$70)&amp;LOOKUP(RANK(DQ49,$DQ$6:$DQ$70),{1,2,3,4;"st","nd","rd","th"}),"-")</f>
        <v>-</v>
      </c>
    </row>
    <row r="50" spans="1:123" ht="1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4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28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2"/>
        <v>0</v>
      </c>
      <c r="DK50" s="114"/>
      <c r="DL50" s="114"/>
      <c r="DM50" s="115">
        <f t="shared" si="23"/>
        <v>0</v>
      </c>
      <c r="DO50" s="107">
        <f t="shared" si="29"/>
        <v>0</v>
      </c>
      <c r="DQ50" s="129" t="str">
        <f t="shared" si="30"/>
        <v>-</v>
      </c>
      <c r="DS50" s="110" t="str">
        <f>IFERROR(RANK(DQ50,$DQ$6:$DQ$70)&amp;LOOKUP(RANK(DQ50,$DQ$6:$DQ$70),{1,2,3,4;"st","nd","rd","th"}),"-")</f>
        <v>-</v>
      </c>
    </row>
    <row r="51" spans="1:123" ht="1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4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28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2"/>
        <v>0</v>
      </c>
      <c r="DK51" s="114"/>
      <c r="DL51" s="114"/>
      <c r="DM51" s="115">
        <f t="shared" si="23"/>
        <v>0</v>
      </c>
      <c r="DO51" s="107">
        <f t="shared" si="29"/>
        <v>0</v>
      </c>
      <c r="DQ51" s="129" t="str">
        <f t="shared" si="30"/>
        <v>-</v>
      </c>
      <c r="DS51" s="110" t="str">
        <f>IFERROR(RANK(DQ51,$DQ$6:$DQ$70)&amp;LOOKUP(RANK(DQ51,$DQ$6:$DQ$70),{1,2,3,4;"st","nd","rd","th"}),"-")</f>
        <v>-</v>
      </c>
    </row>
    <row r="52" spans="1:123" ht="1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4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28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2"/>
        <v>0</v>
      </c>
      <c r="DK52" s="114"/>
      <c r="DL52" s="114"/>
      <c r="DM52" s="115">
        <f t="shared" si="23"/>
        <v>0</v>
      </c>
      <c r="DO52" s="107">
        <f t="shared" si="29"/>
        <v>0</v>
      </c>
      <c r="DQ52" s="129" t="str">
        <f t="shared" si="30"/>
        <v>-</v>
      </c>
      <c r="DS52" s="110" t="str">
        <f>IFERROR(RANK(DQ52,$DQ$6:$DQ$70)&amp;LOOKUP(RANK(DQ52,$DQ$6:$DQ$70),{1,2,3,4;"st","nd","rd","th"}),"-")</f>
        <v>-</v>
      </c>
    </row>
    <row r="53" spans="1:123" ht="1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4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28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2"/>
        <v>0</v>
      </c>
      <c r="DK53" s="114"/>
      <c r="DL53" s="114"/>
      <c r="DM53" s="115">
        <f t="shared" si="23"/>
        <v>0</v>
      </c>
      <c r="DO53" s="107">
        <f t="shared" si="29"/>
        <v>0</v>
      </c>
      <c r="DQ53" s="129" t="str">
        <f t="shared" si="30"/>
        <v>-</v>
      </c>
      <c r="DS53" s="110" t="str">
        <f>IFERROR(RANK(DQ53,$DQ$6:$DQ$70)&amp;LOOKUP(RANK(DQ53,$DQ$6:$DQ$70),{1,2,3,4;"st","nd","rd","th"}),"-")</f>
        <v>-</v>
      </c>
    </row>
    <row r="54" spans="1:123" ht="1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4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28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2"/>
        <v>0</v>
      </c>
      <c r="DK54" s="114"/>
      <c r="DL54" s="114"/>
      <c r="DM54" s="115">
        <f t="shared" si="23"/>
        <v>0</v>
      </c>
      <c r="DO54" s="107">
        <f t="shared" si="29"/>
        <v>0</v>
      </c>
      <c r="DQ54" s="129" t="str">
        <f t="shared" si="30"/>
        <v>-</v>
      </c>
      <c r="DS54" s="110" t="str">
        <f>IFERROR(RANK(DQ54,$DQ$6:$DQ$70)&amp;LOOKUP(RANK(DQ54,$DQ$6:$DQ$70),{1,2,3,4;"st","nd","rd","th"}),"-")</f>
        <v>-</v>
      </c>
    </row>
    <row r="55" spans="1:123" ht="1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4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28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2"/>
        <v>0</v>
      </c>
      <c r="DK55" s="114"/>
      <c r="DL55" s="114"/>
      <c r="DM55" s="115">
        <f t="shared" si="23"/>
        <v>0</v>
      </c>
      <c r="DO55" s="107">
        <f t="shared" si="29"/>
        <v>0</v>
      </c>
      <c r="DQ55" s="129" t="str">
        <f t="shared" si="30"/>
        <v>-</v>
      </c>
      <c r="DS55" s="110" t="str">
        <f>IFERROR(RANK(DQ55,$DQ$6:$DQ$70)&amp;LOOKUP(RANK(DQ55,$DQ$6:$DQ$70),{1,2,3,4;"st","nd","rd","th"}),"-")</f>
        <v>-</v>
      </c>
    </row>
    <row r="56" spans="1:123" ht="1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4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28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2"/>
        <v>0</v>
      </c>
      <c r="DK56" s="114"/>
      <c r="DL56" s="114"/>
      <c r="DM56" s="115">
        <f t="shared" si="23"/>
        <v>0</v>
      </c>
      <c r="DO56" s="107">
        <f t="shared" si="29"/>
        <v>0</v>
      </c>
      <c r="DQ56" s="129" t="str">
        <f t="shared" si="30"/>
        <v>-</v>
      </c>
      <c r="DS56" s="110" t="str">
        <f>IFERROR(RANK(DQ56,$DQ$6:$DQ$70)&amp;LOOKUP(RANK(DQ56,$DQ$6:$DQ$70),{1,2,3,4;"st","nd","rd","th"}),"-")</f>
        <v>-</v>
      </c>
    </row>
    <row r="57" spans="1:123" ht="1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4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28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2"/>
        <v>0</v>
      </c>
      <c r="DK57" s="114"/>
      <c r="DL57" s="114"/>
      <c r="DM57" s="115">
        <f t="shared" si="23"/>
        <v>0</v>
      </c>
      <c r="DO57" s="107">
        <f t="shared" si="29"/>
        <v>0</v>
      </c>
      <c r="DQ57" s="129" t="str">
        <f t="shared" si="30"/>
        <v>-</v>
      </c>
      <c r="DS57" s="110" t="str">
        <f>IFERROR(RANK(DQ57,$DQ$6:$DQ$70)&amp;LOOKUP(RANK(DQ57,$DQ$6:$DQ$70),{1,2,3,4;"st","nd","rd","th"}),"-")</f>
        <v>-</v>
      </c>
    </row>
    <row r="58" spans="1:123" ht="1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4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28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2"/>
        <v>0</v>
      </c>
      <c r="DK58" s="114"/>
      <c r="DL58" s="114"/>
      <c r="DM58" s="115">
        <f t="shared" si="23"/>
        <v>0</v>
      </c>
      <c r="DO58" s="107">
        <f t="shared" si="29"/>
        <v>0</v>
      </c>
      <c r="DQ58" s="129" t="str">
        <f t="shared" si="30"/>
        <v>-</v>
      </c>
      <c r="DS58" s="110" t="str">
        <f>IFERROR(RANK(DQ58,$DQ$6:$DQ$70)&amp;LOOKUP(RANK(DQ58,$DQ$6:$DQ$70),{1,2,3,4;"st","nd","rd","th"}),"-")</f>
        <v>-</v>
      </c>
    </row>
    <row r="59" spans="1:123" ht="1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4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28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>
        <v>35</v>
      </c>
      <c r="CB59" s="114"/>
      <c r="CC59" s="115">
        <f t="shared" si="14"/>
        <v>35</v>
      </c>
      <c r="CE59" s="114">
        <v>35</v>
      </c>
      <c r="CF59" s="114"/>
      <c r="CG59" s="115">
        <f t="shared" si="15"/>
        <v>35</v>
      </c>
      <c r="CI59" s="114">
        <v>35</v>
      </c>
      <c r="CJ59" s="114"/>
      <c r="CK59" s="115">
        <f t="shared" si="16"/>
        <v>35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>
        <v>35</v>
      </c>
      <c r="DD59" s="114"/>
      <c r="DE59" s="115">
        <f t="shared" si="21"/>
        <v>35</v>
      </c>
      <c r="DG59" s="114">
        <v>35</v>
      </c>
      <c r="DH59" s="114"/>
      <c r="DI59" s="115">
        <f t="shared" si="22"/>
        <v>35</v>
      </c>
      <c r="DK59" s="114">
        <v>35</v>
      </c>
      <c r="DL59" s="114"/>
      <c r="DM59" s="115">
        <f t="shared" si="23"/>
        <v>35</v>
      </c>
      <c r="DO59" s="107">
        <f t="shared" si="29"/>
        <v>210</v>
      </c>
      <c r="DQ59" s="129">
        <f t="shared" si="30"/>
        <v>0.35</v>
      </c>
      <c r="DS59" s="110" t="str">
        <f>IFERROR(RANK(DQ59,$DQ$6:$DQ$70)&amp;LOOKUP(RANK(DQ59,$DQ$6:$DQ$70),{1,2,3,4;"st","nd","rd","th"}),"-")</f>
        <v>9th</v>
      </c>
    </row>
    <row r="60" spans="1:123" ht="1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4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28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>
        <v>39</v>
      </c>
      <c r="CB60" s="114"/>
      <c r="CC60" s="115">
        <f t="shared" si="14"/>
        <v>39</v>
      </c>
      <c r="CE60" s="114">
        <v>39</v>
      </c>
      <c r="CF60" s="114"/>
      <c r="CG60" s="115">
        <f t="shared" si="15"/>
        <v>39</v>
      </c>
      <c r="CI60" s="114">
        <v>39</v>
      </c>
      <c r="CJ60" s="114"/>
      <c r="CK60" s="115">
        <f t="shared" si="16"/>
        <v>39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>
        <v>39</v>
      </c>
      <c r="DD60" s="114"/>
      <c r="DE60" s="115">
        <f t="shared" si="21"/>
        <v>39</v>
      </c>
      <c r="DG60" s="114">
        <v>39</v>
      </c>
      <c r="DH60" s="114"/>
      <c r="DI60" s="115">
        <f t="shared" si="22"/>
        <v>39</v>
      </c>
      <c r="DK60" s="114">
        <v>39</v>
      </c>
      <c r="DL60" s="114"/>
      <c r="DM60" s="115">
        <f t="shared" si="23"/>
        <v>39</v>
      </c>
      <c r="DO60" s="107">
        <f t="shared" si="29"/>
        <v>234</v>
      </c>
      <c r="DQ60" s="129">
        <f t="shared" si="30"/>
        <v>0.39</v>
      </c>
      <c r="DS60" s="110" t="str">
        <f>IFERROR(RANK(DQ60,$DQ$6:$DQ$70)&amp;LOOKUP(RANK(DQ60,$DQ$6:$DQ$70),{1,2,3,4;"st","nd","rd","th"}),"-")</f>
        <v>8th</v>
      </c>
    </row>
    <row r="61" spans="1:123" ht="1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4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28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2"/>
        <v>0</v>
      </c>
      <c r="DK61" s="114"/>
      <c r="DL61" s="114"/>
      <c r="DM61" s="115">
        <f t="shared" si="23"/>
        <v>0</v>
      </c>
      <c r="DO61" s="107">
        <f t="shared" si="29"/>
        <v>0</v>
      </c>
      <c r="DQ61" s="129" t="str">
        <f t="shared" si="30"/>
        <v>-</v>
      </c>
      <c r="DS61" s="110" t="str">
        <f>IFERROR(RANK(DQ61,$DQ$6:$DQ$70)&amp;LOOKUP(RANK(DQ61,$DQ$6:$DQ$70),{1,2,3,4;"st","nd","rd","th"}),"-")</f>
        <v>-</v>
      </c>
    </row>
    <row r="62" spans="1:123" ht="1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4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28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2"/>
        <v>0</v>
      </c>
      <c r="DK62" s="114"/>
      <c r="DL62" s="114"/>
      <c r="DM62" s="115">
        <f t="shared" si="23"/>
        <v>0</v>
      </c>
      <c r="DO62" s="107">
        <f t="shared" si="29"/>
        <v>0</v>
      </c>
      <c r="DQ62" s="129" t="str">
        <f t="shared" si="30"/>
        <v>-</v>
      </c>
      <c r="DS62" s="110" t="str">
        <f>IFERROR(RANK(DQ62,$DQ$6:$DQ$70)&amp;LOOKUP(RANK(DQ62,$DQ$6:$DQ$70),{1,2,3,4;"st","nd","rd","th"}),"-")</f>
        <v>-</v>
      </c>
    </row>
    <row r="63" spans="1:123" ht="1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4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28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2"/>
        <v>0</v>
      </c>
      <c r="DK63" s="114"/>
      <c r="DL63" s="114"/>
      <c r="DM63" s="115">
        <f t="shared" si="23"/>
        <v>0</v>
      </c>
      <c r="DO63" s="107">
        <f t="shared" si="29"/>
        <v>0</v>
      </c>
      <c r="DQ63" s="129" t="str">
        <f t="shared" si="30"/>
        <v>-</v>
      </c>
      <c r="DS63" s="110" t="str">
        <f>IFERROR(RANK(DQ63,$DQ$6:$DQ$70)&amp;LOOKUP(RANK(DQ63,$DQ$6:$DQ$70),{1,2,3,4;"st","nd","rd","th"}),"-")</f>
        <v>-</v>
      </c>
    </row>
    <row r="64" spans="1:123" ht="1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4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28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2"/>
        <v>0</v>
      </c>
      <c r="DK64" s="114"/>
      <c r="DL64" s="114"/>
      <c r="DM64" s="115">
        <f t="shared" si="23"/>
        <v>0</v>
      </c>
      <c r="DO64" s="107">
        <f t="shared" si="29"/>
        <v>0</v>
      </c>
      <c r="DQ64" s="129" t="str">
        <f t="shared" si="30"/>
        <v>-</v>
      </c>
      <c r="DS64" s="110" t="str">
        <f>IFERROR(RANK(DQ64,$DQ$6:$DQ$70)&amp;LOOKUP(RANK(DQ64,$DQ$6:$DQ$70),{1,2,3,4;"st","nd","rd","th"}),"-")</f>
        <v>-</v>
      </c>
    </row>
    <row r="65" spans="1:123" ht="1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4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28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2"/>
        <v>0</v>
      </c>
      <c r="DK65" s="114"/>
      <c r="DL65" s="114"/>
      <c r="DM65" s="115">
        <f t="shared" si="23"/>
        <v>0</v>
      </c>
      <c r="DO65" s="107">
        <f t="shared" si="29"/>
        <v>0</v>
      </c>
      <c r="DQ65" s="129" t="str">
        <f t="shared" si="30"/>
        <v>-</v>
      </c>
      <c r="DS65" s="110" t="str">
        <f>IFERROR(RANK(DQ65,$DQ$6:$DQ$70)&amp;LOOKUP(RANK(DQ65,$DQ$6:$DQ$70),{1,2,3,4;"st","nd","rd","th"}),"-")</f>
        <v>-</v>
      </c>
    </row>
    <row r="66" spans="1:123" ht="1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4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28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2"/>
        <v>0</v>
      </c>
      <c r="DK66" s="114"/>
      <c r="DL66" s="114"/>
      <c r="DM66" s="115">
        <f t="shared" si="23"/>
        <v>0</v>
      </c>
      <c r="DO66" s="107">
        <f t="shared" si="29"/>
        <v>0</v>
      </c>
      <c r="DQ66" s="129" t="str">
        <f t="shared" si="30"/>
        <v>-</v>
      </c>
      <c r="DS66" s="110" t="str">
        <f>IFERROR(RANK(DQ66,$DQ$6:$DQ$70)&amp;LOOKUP(RANK(DQ66,$DQ$6:$DQ$70),{1,2,3,4;"st","nd","rd","th"}),"-")</f>
        <v>-</v>
      </c>
    </row>
    <row r="67" spans="1:123" ht="1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4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28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2"/>
        <v>0</v>
      </c>
      <c r="DK67" s="114"/>
      <c r="DL67" s="114"/>
      <c r="DM67" s="115">
        <f t="shared" si="23"/>
        <v>0</v>
      </c>
      <c r="DO67" s="107">
        <f t="shared" si="29"/>
        <v>0</v>
      </c>
      <c r="DQ67" s="129" t="str">
        <f t="shared" si="30"/>
        <v>-</v>
      </c>
      <c r="DS67" s="110" t="str">
        <f>IFERROR(RANK(DQ67,$DQ$6:$DQ$70)&amp;LOOKUP(RANK(DQ67,$DQ$6:$DQ$70),{1,2,3,4;"st","nd","rd","th"}),"-")</f>
        <v>-</v>
      </c>
    </row>
    <row r="68" spans="1:123" ht="1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4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28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2"/>
        <v>0</v>
      </c>
      <c r="DK68" s="114"/>
      <c r="DL68" s="114"/>
      <c r="DM68" s="115">
        <f t="shared" si="23"/>
        <v>0</v>
      </c>
      <c r="DO68" s="107">
        <f t="shared" si="29"/>
        <v>0</v>
      </c>
      <c r="DQ68" s="129" t="str">
        <f t="shared" si="30"/>
        <v>-</v>
      </c>
      <c r="DS68" s="110" t="str">
        <f>IFERROR(RANK(DQ68,$DQ$6:$DQ$70)&amp;LOOKUP(RANK(DQ68,$DQ$6:$DQ$70),{1,2,3,4;"st","nd","rd","th"}),"-")</f>
        <v>-</v>
      </c>
    </row>
    <row r="69" spans="1:123" ht="1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4"/>
        <v>0</v>
      </c>
      <c r="V69" s="116"/>
      <c r="W69" s="114"/>
      <c r="X69" s="114"/>
      <c r="Y69" s="115">
        <f t="shared" ref="Y69:Y70" si="31">W69+X69</f>
        <v>0</v>
      </c>
      <c r="Z69" s="116"/>
      <c r="AA69" s="114"/>
      <c r="AB69" s="114"/>
      <c r="AC69" s="115">
        <f t="shared" ref="AC69:AC70" si="32">AA69+AB69</f>
        <v>0</v>
      </c>
      <c r="AD69" s="116"/>
      <c r="AE69" s="114"/>
      <c r="AF69" s="114"/>
      <c r="AG69" s="115">
        <f t="shared" ref="AG69:AG70" si="33">AE69+AF69</f>
        <v>0</v>
      </c>
      <c r="AH69" s="116"/>
      <c r="AI69" s="114"/>
      <c r="AJ69" s="114"/>
      <c r="AK69" s="115">
        <f t="shared" ref="AK69:AK70" si="34">AI69+AJ69</f>
        <v>0</v>
      </c>
      <c r="AL69" s="116"/>
      <c r="AM69" s="114"/>
      <c r="AN69" s="114"/>
      <c r="AO69" s="115">
        <f t="shared" ref="AO69:AO70" si="35">AM69+AN69</f>
        <v>0</v>
      </c>
      <c r="AP69" s="116"/>
      <c r="AQ69" s="114"/>
      <c r="AR69" s="114"/>
      <c r="AS69" s="115">
        <f t="shared" ref="AS69:AS70" si="36">AQ69+AR69</f>
        <v>0</v>
      </c>
      <c r="AT69" s="114"/>
      <c r="AU69" s="114"/>
      <c r="AV69" s="114"/>
      <c r="AW69" s="117">
        <f t="shared" si="28"/>
        <v>0</v>
      </c>
      <c r="AX69" s="114"/>
      <c r="AY69" s="114"/>
      <c r="AZ69" s="114"/>
      <c r="BA69" s="115">
        <f t="shared" ref="BA69:BA70" si="37">AY69+AZ69</f>
        <v>0</v>
      </c>
      <c r="BB69" s="116"/>
      <c r="BC69" s="114"/>
      <c r="BD69" s="114"/>
      <c r="BE69" s="115">
        <f t="shared" ref="BE69:BE70" si="38">BC69+BD69</f>
        <v>0</v>
      </c>
      <c r="BF69" s="114"/>
      <c r="BG69" s="114"/>
      <c r="BH69" s="114"/>
      <c r="BI69" s="115">
        <f t="shared" ref="BI69:BI70" si="39">BG69+BH69</f>
        <v>0</v>
      </c>
      <c r="BJ69" s="114"/>
      <c r="BK69" s="114"/>
      <c r="BL69" s="114"/>
      <c r="BM69" s="115">
        <f t="shared" ref="BM69:BM70" si="40">BK69+BL69</f>
        <v>0</v>
      </c>
      <c r="BN69" s="114"/>
      <c r="BO69" s="114"/>
      <c r="BP69" s="114"/>
      <c r="BQ69" s="115">
        <f t="shared" ref="BQ69:BQ70" si="41">BO69+BP69</f>
        <v>0</v>
      </c>
      <c r="BR69" s="114"/>
      <c r="BS69" s="114"/>
      <c r="BT69" s="114"/>
      <c r="BU69" s="115">
        <f t="shared" ref="BU69:BU70" si="42">BS69+BT69</f>
        <v>0</v>
      </c>
      <c r="BV69" s="114"/>
      <c r="BW69" s="114"/>
      <c r="BX69" s="114"/>
      <c r="BY69" s="115">
        <f t="shared" ref="BY69:BY70" si="43">BW69+BX69</f>
        <v>0</v>
      </c>
      <c r="BZ69" s="114"/>
      <c r="CA69" s="114"/>
      <c r="CB69" s="114"/>
      <c r="CC69" s="115">
        <f t="shared" ref="CC69:CC70" si="44">CA69+CB69</f>
        <v>0</v>
      </c>
      <c r="CE69" s="114"/>
      <c r="CF69" s="114"/>
      <c r="CG69" s="115">
        <f t="shared" ref="CG69:CG70" si="45">CE69+CF69</f>
        <v>0</v>
      </c>
      <c r="CI69" s="114"/>
      <c r="CJ69" s="114"/>
      <c r="CK69" s="115">
        <f t="shared" ref="CK69:CK70" si="46">CI69+CJ69</f>
        <v>0</v>
      </c>
      <c r="CM69" s="114"/>
      <c r="CN69" s="114"/>
      <c r="CO69" s="115">
        <f t="shared" ref="CO69:CO70" si="47">CM69+CN69</f>
        <v>0</v>
      </c>
      <c r="CP69" s="114"/>
      <c r="CQ69" s="114"/>
      <c r="CR69" s="114"/>
      <c r="CS69" s="115">
        <f t="shared" ref="CS69:CS70" si="48">CQ69+CR69</f>
        <v>0</v>
      </c>
      <c r="CT69" s="114"/>
      <c r="CU69" s="114"/>
      <c r="CV69" s="114"/>
      <c r="CW69" s="115">
        <f t="shared" ref="CW69:CW70" si="49">CU69+CV69</f>
        <v>0</v>
      </c>
      <c r="CX69" s="114"/>
      <c r="CY69" s="114"/>
      <c r="CZ69" s="114"/>
      <c r="DA69" s="115">
        <f t="shared" ref="DA69:DA70" si="50">CY69+CZ69</f>
        <v>0</v>
      </c>
      <c r="DB69" s="114"/>
      <c r="DC69" s="114"/>
      <c r="DD69" s="114"/>
      <c r="DE69" s="115">
        <f t="shared" ref="DE69:DE70" si="51">DC69+DD69</f>
        <v>0</v>
      </c>
      <c r="DG69" s="114"/>
      <c r="DH69" s="114"/>
      <c r="DI69" s="115">
        <f t="shared" ref="DI69:DI70" si="52">DG69+DH69</f>
        <v>0</v>
      </c>
      <c r="DK69" s="114"/>
      <c r="DL69" s="114"/>
      <c r="DM69" s="115">
        <f t="shared" ref="DM69:DM70" si="53">DK69+DL69</f>
        <v>0</v>
      </c>
      <c r="DO69" s="107">
        <f t="shared" si="29"/>
        <v>0</v>
      </c>
      <c r="DQ69" s="129" t="str">
        <f t="shared" si="30"/>
        <v>-</v>
      </c>
      <c r="DS69" s="110" t="str">
        <f>IFERROR(RANK(DQ69,$DQ$6:$DQ$70)&amp;LOOKUP(RANK(DQ69,$DQ$6:$DQ$70),{1,2,3,4;"st","nd","rd","th"}),"-")</f>
        <v>-</v>
      </c>
    </row>
    <row r="70" spans="1:123" ht="1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4">S70+T70</f>
        <v>0</v>
      </c>
      <c r="V70" s="116"/>
      <c r="W70" s="114"/>
      <c r="X70" s="114"/>
      <c r="Y70" s="115">
        <f t="shared" si="31"/>
        <v>0</v>
      </c>
      <c r="Z70" s="116"/>
      <c r="AA70" s="114"/>
      <c r="AB70" s="114"/>
      <c r="AC70" s="115">
        <f t="shared" si="32"/>
        <v>0</v>
      </c>
      <c r="AD70" s="116"/>
      <c r="AE70" s="114"/>
      <c r="AF70" s="114"/>
      <c r="AG70" s="115">
        <f t="shared" si="33"/>
        <v>0</v>
      </c>
      <c r="AH70" s="116"/>
      <c r="AI70" s="114"/>
      <c r="AJ70" s="114"/>
      <c r="AK70" s="115">
        <f t="shared" si="34"/>
        <v>0</v>
      </c>
      <c r="AL70" s="116"/>
      <c r="AM70" s="114"/>
      <c r="AN70" s="114"/>
      <c r="AO70" s="115">
        <f t="shared" si="35"/>
        <v>0</v>
      </c>
      <c r="AP70" s="116"/>
      <c r="AQ70" s="114"/>
      <c r="AR70" s="114"/>
      <c r="AS70" s="115">
        <f t="shared" si="36"/>
        <v>0</v>
      </c>
      <c r="AT70" s="114"/>
      <c r="AU70" s="114"/>
      <c r="AV70" s="114"/>
      <c r="AW70" s="117">
        <f t="shared" si="28"/>
        <v>0</v>
      </c>
      <c r="AX70" s="114"/>
      <c r="AY70" s="114"/>
      <c r="AZ70" s="114"/>
      <c r="BA70" s="115">
        <f t="shared" si="37"/>
        <v>0</v>
      </c>
      <c r="BB70" s="116"/>
      <c r="BC70" s="114"/>
      <c r="BD70" s="114"/>
      <c r="BE70" s="115">
        <f t="shared" si="38"/>
        <v>0</v>
      </c>
      <c r="BF70" s="114"/>
      <c r="BG70" s="114"/>
      <c r="BH70" s="114"/>
      <c r="BI70" s="115">
        <f t="shared" si="39"/>
        <v>0</v>
      </c>
      <c r="BJ70" s="114"/>
      <c r="BK70" s="114"/>
      <c r="BL70" s="114"/>
      <c r="BM70" s="115">
        <f t="shared" si="40"/>
        <v>0</v>
      </c>
      <c r="BN70" s="114"/>
      <c r="BO70" s="114"/>
      <c r="BP70" s="114">
        <v>57</v>
      </c>
      <c r="BQ70" s="115">
        <f t="shared" si="41"/>
        <v>57</v>
      </c>
      <c r="BR70" s="114"/>
      <c r="BS70" s="114"/>
      <c r="BT70" s="114">
        <v>44</v>
      </c>
      <c r="BU70" s="115">
        <f t="shared" si="42"/>
        <v>44</v>
      </c>
      <c r="BV70" s="114"/>
      <c r="BW70" s="114"/>
      <c r="BX70" s="114">
        <v>60</v>
      </c>
      <c r="BY70" s="115">
        <f t="shared" si="43"/>
        <v>60</v>
      </c>
      <c r="BZ70" s="114"/>
      <c r="CA70" s="114"/>
      <c r="CB70" s="114">
        <v>1</v>
      </c>
      <c r="CC70" s="115">
        <f t="shared" si="44"/>
        <v>1</v>
      </c>
      <c r="CE70" s="114"/>
      <c r="CF70" s="114">
        <v>1</v>
      </c>
      <c r="CG70" s="115">
        <f t="shared" si="45"/>
        <v>1</v>
      </c>
      <c r="CI70" s="114"/>
      <c r="CJ70" s="114">
        <v>1</v>
      </c>
      <c r="CK70" s="115">
        <f t="shared" si="46"/>
        <v>1</v>
      </c>
      <c r="CM70" s="114"/>
      <c r="CN70" s="114"/>
      <c r="CO70" s="115">
        <f t="shared" si="47"/>
        <v>0</v>
      </c>
      <c r="CP70" s="114"/>
      <c r="CQ70" s="114"/>
      <c r="CR70" s="114">
        <v>57</v>
      </c>
      <c r="CS70" s="115">
        <f t="shared" si="48"/>
        <v>57</v>
      </c>
      <c r="CT70" s="114"/>
      <c r="CU70" s="114"/>
      <c r="CV70" s="114">
        <v>44</v>
      </c>
      <c r="CW70" s="115">
        <f t="shared" si="49"/>
        <v>44</v>
      </c>
      <c r="CX70" s="114"/>
      <c r="CY70" s="114"/>
      <c r="CZ70" s="114">
        <v>60</v>
      </c>
      <c r="DA70" s="115">
        <f t="shared" si="50"/>
        <v>60</v>
      </c>
      <c r="DB70" s="114"/>
      <c r="DC70" s="114"/>
      <c r="DD70" s="114">
        <v>1</v>
      </c>
      <c r="DE70" s="115">
        <f t="shared" si="51"/>
        <v>1</v>
      </c>
      <c r="DG70" s="114"/>
      <c r="DH70" s="114">
        <v>1</v>
      </c>
      <c r="DI70" s="115">
        <f t="shared" si="52"/>
        <v>1</v>
      </c>
      <c r="DK70" s="114"/>
      <c r="DL70" s="114">
        <v>1</v>
      </c>
      <c r="DM70" s="115">
        <f t="shared" si="53"/>
        <v>1</v>
      </c>
      <c r="DO70" s="107">
        <f t="shared" si="29"/>
        <v>328</v>
      </c>
      <c r="DQ70" s="129">
        <f t="shared" si="30"/>
        <v>0.27333333333333332</v>
      </c>
      <c r="DS70" s="110" t="str">
        <f>IFERROR(RANK(DQ70,$DQ$6:$DQ$70)&amp;LOOKUP(RANK(DQ70,$DQ$6:$DQ$70),{1,2,3,4;"st","nd","rd","th"}),"-")</f>
        <v>10th</v>
      </c>
    </row>
    <row r="71" spans="1:123" ht="15.5">
      <c r="F71"/>
      <c r="Z71" s="72"/>
      <c r="AD71" s="72"/>
      <c r="AL71" s="72"/>
      <c r="BB71" s="72"/>
      <c r="BC71" s="77"/>
    </row>
    <row r="72" spans="1:123">
      <c r="X72"/>
      <c r="Z72" s="72"/>
      <c r="AD72" s="72"/>
      <c r="AL72" s="72"/>
      <c r="BB72" s="72"/>
    </row>
    <row r="73" spans="1:123">
      <c r="AD73" s="72"/>
    </row>
  </sheetData>
  <sheetProtection password="D9FE"/>
  <mergeCells count="27">
    <mergeCell ref="DC2:DE3"/>
    <mergeCell ref="DG2:DI3"/>
    <mergeCell ref="DO3:DS3"/>
    <mergeCell ref="DK2:DM3"/>
    <mergeCell ref="AI2:AK3"/>
    <mergeCell ref="BG2:BI3"/>
    <mergeCell ref="CM2:CO3"/>
    <mergeCell ref="CQ2:CS3"/>
    <mergeCell ref="CU2:CW3"/>
    <mergeCell ref="CY2:DA3"/>
    <mergeCell ref="AM2:AO3"/>
    <mergeCell ref="AQ2:AS3"/>
    <mergeCell ref="AU2:AW3"/>
    <mergeCell ref="AY2:BA3"/>
    <mergeCell ref="BC2:BE3"/>
    <mergeCell ref="BK2:BM3"/>
    <mergeCell ref="A1:B2"/>
    <mergeCell ref="S2:U3"/>
    <mergeCell ref="W2:Y3"/>
    <mergeCell ref="AA2:AC3"/>
    <mergeCell ref="AE2:AG3"/>
    <mergeCell ref="CI2:CK3"/>
    <mergeCell ref="BO2:BQ3"/>
    <mergeCell ref="BS2:BU3"/>
    <mergeCell ref="BW2:BY3"/>
    <mergeCell ref="CA2:CC3"/>
    <mergeCell ref="CE2:CG3"/>
  </mergeCells>
  <dataValidations count="2">
    <dataValidation type="custom" showInputMessage="1" showErrorMessage="1" error="Sebeelil!, You Can't Include Such Value, Ok." sqref="T6:T70 CJ6:CJ70 CF6:CF70 BL6:BL70 BP6:BP70 BT6:BT70 BX6:BX70 CB6:CB70 DL6:DL70 DH6:DH70 X6:X70 AB6:AB70 AF6:AF70 AJ6:AJ70 AN6:AN70 AR6:AR70 AV6:AV70 AZ6:AZ70 BD6:BD70 BH6:BH70 CN6:CN70 CR6:CR70 CV6:CV70 CZ6:CZ70 DD6:DD70" xr:uid="{00000000-0002-0000-0400-000000000000}">
      <formula1>T6&lt;=$T$5</formula1>
    </dataValidation>
    <dataValidation type="custom" allowBlank="1" showInputMessage="1" showErrorMessage="1" errorTitle="RAHMAH!" error="Please, You Cant input Such Value." sqref="S6:S70 CI6:CI70 CE6:CE70 CA6:CA70 BW6:BW70 BS6:BS70 BO6:BO70 BK6:BK70 DK6:DK70 DG6:DG70 DC6:DC70 CY6:CY70 CU6:CU70 CQ6:CQ70 CM6:CM70 BG6:BG70 BC6:BC70 AY6:AY70 AU6:AU70 AQ6:AQ70 AM6:AM70 AI6:AI70 AE6:AE70 AA6:AA70 W6:W70" xr:uid="{00000000-0002-0000-0400-000001000000}">
      <formula1>S6&lt;=$S$5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3000000}">
          <x14:formula1>
            <xm:f>setup1!$E$3:$E$25</xm:f>
          </x14:formula1>
          <xm:sqref>AE2 AI2 BC2 BG2 AM2 AY2 CM2 CQ2 DK2 CU2 DC2 W2 S2 AA2 AQ2 AU2 DG2 BK2 BO2 CI2 BS2 CA2 CE2</xm:sqref>
        </x14:dataValidation>
        <x14:dataValidation type="list" allowBlank="1" showInputMessage="1" xr:uid="{58481952-11D4-4F97-B1EC-9F1B9096EC21}">
          <x14:formula1>
            <xm:f>setup1!$E$2:$E$30</xm:f>
          </x14:formula1>
          <xm:sqref>CY2 BW2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FFC000"/>
  </sheetPr>
  <dimension ref="A1:DY73"/>
  <sheetViews>
    <sheetView showGridLines="0" zoomScale="70" zoomScaleNormal="70" workbookViewId="0">
      <pane xSplit="1" ySplit="5" topLeftCell="B7" activePane="bottomRight" state="frozen"/>
      <selection activeCell="DO4" sqref="DO4"/>
      <selection pane="topRight" activeCell="DO4" sqref="DO4"/>
      <selection pane="bottomLeft" activeCell="DO4" sqref="DO4"/>
      <selection pane="bottomRight" sqref="A1:B2"/>
    </sheetView>
  </sheetViews>
  <sheetFormatPr defaultColWidth="9.1796875" defaultRowHeight="14.5"/>
  <cols>
    <col min="1" max="1" width="5.1796875" style="4" customWidth="1"/>
    <col min="2" max="2" width="30.54296875" style="4" bestFit="1" customWidth="1"/>
    <col min="3" max="4" width="10" style="4" customWidth="1"/>
    <col min="5" max="5" width="11.1796875" style="4" customWidth="1"/>
    <col min="6" max="6" width="1" style="4" customWidth="1"/>
    <col min="7" max="7" width="11" style="4" customWidth="1"/>
    <col min="8" max="8" width="12.453125" style="4" customWidth="1"/>
    <col min="9" max="9" width="14.453125" style="4" customWidth="1"/>
    <col min="10" max="10" width="14.81640625" style="4" customWidth="1"/>
    <col min="11" max="11" width="0.81640625" style="4" customWidth="1"/>
    <col min="12" max="12" width="9.81640625" style="4" customWidth="1"/>
    <col min="13" max="13" width="9.26953125" style="4" customWidth="1"/>
    <col min="14" max="14" width="9" style="4" customWidth="1"/>
    <col min="15" max="15" width="8.26953125" style="4" customWidth="1"/>
    <col min="16" max="16" width="13.54296875" style="4" customWidth="1"/>
    <col min="17" max="17" width="9.7265625" style="4" customWidth="1"/>
    <col min="18" max="18" width="0.81640625" style="4" customWidth="1"/>
    <col min="19" max="19" width="5.26953125" style="73" customWidth="1"/>
    <col min="20" max="20" width="8.26953125" style="73" customWidth="1"/>
    <col min="21" max="21" width="11.26953125" style="73" customWidth="1"/>
    <col min="22" max="22" width="0.81640625" style="73" customWidth="1"/>
    <col min="23" max="23" width="5.26953125" style="73" customWidth="1"/>
    <col min="24" max="24" width="8.26953125" style="73" customWidth="1"/>
    <col min="25" max="25" width="11.81640625" style="73" customWidth="1"/>
    <col min="26" max="26" width="0.81640625" style="73" customWidth="1"/>
    <col min="27" max="27" width="5.26953125" style="73" customWidth="1"/>
    <col min="28" max="28" width="8.26953125" style="73" customWidth="1"/>
    <col min="29" max="29" width="10.81640625" style="73" customWidth="1"/>
    <col min="30" max="30" width="0.81640625" style="73" customWidth="1"/>
    <col min="31" max="31" width="5.26953125" style="73" customWidth="1"/>
    <col min="32" max="32" width="8.26953125" style="73" customWidth="1"/>
    <col min="33" max="33" width="12.1796875" style="73" customWidth="1"/>
    <col min="34" max="34" width="0.81640625" style="73" customWidth="1"/>
    <col min="35" max="35" width="5.26953125" style="73" customWidth="1"/>
    <col min="36" max="36" width="8.26953125" style="73" customWidth="1"/>
    <col min="37" max="37" width="10.453125" style="73" customWidth="1"/>
    <col min="38" max="38" width="0.81640625" style="73" customWidth="1"/>
    <col min="39" max="39" width="5.26953125" style="73" customWidth="1"/>
    <col min="40" max="40" width="8.26953125" style="73" customWidth="1"/>
    <col min="41" max="41" width="11.26953125" style="73" customWidth="1"/>
    <col min="42" max="42" width="0.81640625" style="73" customWidth="1"/>
    <col min="43" max="43" width="5.26953125" style="73" customWidth="1"/>
    <col min="44" max="44" width="8.26953125" style="73" customWidth="1"/>
    <col min="45" max="45" width="13.26953125" style="73" customWidth="1"/>
    <col min="46" max="46" width="0.81640625" style="73" customWidth="1"/>
    <col min="47" max="47" width="5.26953125" style="73" customWidth="1"/>
    <col min="48" max="48" width="8.26953125" style="73" customWidth="1"/>
    <col min="49" max="49" width="11.26953125" style="73" customWidth="1"/>
    <col min="50" max="50" width="0.81640625" style="73" customWidth="1"/>
    <col min="51" max="51" width="5.26953125" style="73" customWidth="1"/>
    <col min="52" max="52" width="8.26953125" style="73" customWidth="1"/>
    <col min="53" max="53" width="11.26953125" style="73" customWidth="1"/>
    <col min="54" max="54" width="0.81640625" style="73" customWidth="1"/>
    <col min="55" max="55" width="5.26953125" style="73" customWidth="1"/>
    <col min="56" max="56" width="8.26953125" style="73" customWidth="1"/>
    <col min="57" max="57" width="11.26953125" style="73" customWidth="1"/>
    <col min="58" max="58" width="0.81640625" style="73" customWidth="1"/>
    <col min="59" max="59" width="5.26953125" style="73" customWidth="1"/>
    <col min="60" max="60" width="8.26953125" style="73" customWidth="1"/>
    <col min="61" max="61" width="11.26953125" style="73" customWidth="1"/>
    <col min="62" max="62" width="0.81640625" style="73" customWidth="1"/>
    <col min="63" max="63" width="5.26953125" style="73" customWidth="1"/>
    <col min="64" max="64" width="8.26953125" style="73" customWidth="1"/>
    <col min="65" max="65" width="11.26953125" style="73" customWidth="1"/>
    <col min="66" max="66" width="0.81640625" style="73" customWidth="1"/>
    <col min="67" max="67" width="5.26953125" style="73" customWidth="1"/>
    <col min="68" max="68" width="8.26953125" style="73" customWidth="1"/>
    <col min="69" max="69" width="11.26953125" style="73" customWidth="1"/>
    <col min="70" max="70" width="0.81640625" style="73" customWidth="1"/>
    <col min="71" max="71" width="5.26953125" style="73" customWidth="1"/>
    <col min="72" max="72" width="8.26953125" style="73" customWidth="1"/>
    <col min="73" max="73" width="11.81640625" style="73" customWidth="1"/>
    <col min="74" max="74" width="0.81640625" style="73" customWidth="1"/>
    <col min="75" max="75" width="5.26953125" style="73" customWidth="1"/>
    <col min="76" max="76" width="5.26953125" style="73" bestFit="1" customWidth="1"/>
    <col min="77" max="77" width="11.26953125" style="73" customWidth="1"/>
    <col min="78" max="78" width="0.81640625" style="73" customWidth="1"/>
    <col min="79" max="79" width="5.26953125" style="73" customWidth="1"/>
    <col min="80" max="80" width="5.26953125" style="73" bestFit="1" customWidth="1"/>
    <col min="81" max="81" width="11.26953125" style="73" customWidth="1"/>
    <col min="82" max="82" width="0.81640625" style="4" customWidth="1"/>
    <col min="83" max="83" width="5.26953125" style="4" customWidth="1"/>
    <col min="84" max="84" width="8.26953125" style="4" customWidth="1"/>
    <col min="85" max="85" width="13.7265625" style="4" customWidth="1"/>
    <col min="86" max="86" width="0.81640625" customWidth="1"/>
    <col min="87" max="87" width="5.26953125" style="4" customWidth="1"/>
    <col min="88" max="88" width="8.26953125" style="4" customWidth="1"/>
    <col min="89" max="89" width="13.7265625" style="4" customWidth="1"/>
    <col min="90" max="90" width="0.81640625" style="4" customWidth="1"/>
    <col min="91" max="91" width="5.26953125" style="73" customWidth="1"/>
    <col min="92" max="92" width="8.26953125" style="73" customWidth="1"/>
    <col min="93" max="93" width="11.26953125" style="73" customWidth="1"/>
    <col min="94" max="94" width="0.81640625" style="73" customWidth="1"/>
    <col min="95" max="95" width="5.26953125" style="73" customWidth="1"/>
    <col min="96" max="96" width="8.26953125" style="73" customWidth="1"/>
    <col min="97" max="97" width="11.26953125" style="73" customWidth="1"/>
    <col min="98" max="98" width="0.81640625" style="73" customWidth="1"/>
    <col min="99" max="99" width="5.26953125" style="73" customWidth="1"/>
    <col min="100" max="100" width="8.26953125" style="73" customWidth="1"/>
    <col min="101" max="101" width="11.81640625" style="73" customWidth="1"/>
    <col min="102" max="102" width="0.81640625" style="73" customWidth="1"/>
    <col min="103" max="103" width="5.26953125" style="73" customWidth="1"/>
    <col min="104" max="104" width="5.26953125" style="73" bestFit="1" customWidth="1"/>
    <col min="105" max="105" width="11.26953125" style="73" customWidth="1"/>
    <col min="106" max="106" width="0.81640625" style="73" customWidth="1"/>
    <col min="107" max="107" width="5.26953125" style="73" customWidth="1"/>
    <col min="108" max="108" width="5.26953125" style="73" bestFit="1" customWidth="1"/>
    <col min="109" max="109" width="11.26953125" style="73" customWidth="1"/>
    <col min="110" max="110" width="0.81640625" style="4" customWidth="1"/>
    <col min="111" max="111" width="5.26953125" style="4" customWidth="1"/>
    <col min="112" max="112" width="8.26953125" style="4" customWidth="1"/>
    <col min="113" max="113" width="13.7265625" style="4" customWidth="1"/>
    <col min="114" max="114" width="0.81640625" customWidth="1"/>
    <col min="115" max="115" width="5.26953125" style="4" customWidth="1"/>
    <col min="116" max="116" width="8.26953125" style="4" customWidth="1"/>
    <col min="117" max="117" width="13.7265625" style="4" customWidth="1"/>
    <col min="118" max="118" width="0.81640625" style="4" customWidth="1"/>
    <col min="119" max="119" width="20.1796875" style="4" bestFit="1" customWidth="1"/>
    <col min="120" max="120" width="0.453125" style="4" customWidth="1"/>
    <col min="121" max="121" width="20.26953125" style="4" bestFit="1" customWidth="1"/>
    <col min="122" max="122" width="0.7265625" style="4" customWidth="1"/>
    <col min="123" max="123" width="9.1796875" style="4"/>
    <col min="124" max="124" width="17.81640625" style="4" bestFit="1" customWidth="1"/>
    <col min="125" max="125" width="18.54296875" style="4" bestFit="1" customWidth="1"/>
    <col min="126" max="126" width="15.453125" style="4" bestFit="1" customWidth="1"/>
    <col min="127" max="16384" width="9.1796875" style="4"/>
  </cols>
  <sheetData>
    <row r="1" spans="1:129" s="3" customFormat="1" ht="10.5" hidden="1" customHeight="1">
      <c r="A1" s="237"/>
      <c r="B1" s="238"/>
      <c r="S1" s="3" t="str">
        <f>S$2&amp;S4</f>
        <v>ENGLISH LANGUAGECA</v>
      </c>
      <c r="T1" s="3" t="str">
        <f>S$2&amp;T4</f>
        <v>ENGLISH LANGUAGEExam.</v>
      </c>
      <c r="U1" s="3">
        <f t="shared" ref="U1:DB1" si="0">U2</f>
        <v>0</v>
      </c>
      <c r="V1" s="3">
        <f t="shared" si="0"/>
        <v>0</v>
      </c>
      <c r="W1" s="3" t="str">
        <f>W$2&amp;W4</f>
        <v>MATHEMATICSCA</v>
      </c>
      <c r="X1" s="3" t="str">
        <f>W$2&amp;X4</f>
        <v>MATHEMATICSExam.</v>
      </c>
      <c r="Y1" s="3">
        <f t="shared" si="0"/>
        <v>0</v>
      </c>
      <c r="Z1" s="3">
        <f t="shared" si="0"/>
        <v>0</v>
      </c>
      <c r="AA1" s="3" t="str">
        <f>AA$2&amp;AA4</f>
        <v>PHYSICSCA</v>
      </c>
      <c r="AB1" s="3" t="str">
        <f>AA$2&amp;AB4</f>
        <v>PHYSICSExam.</v>
      </c>
      <c r="AC1" s="3">
        <f t="shared" si="0"/>
        <v>0</v>
      </c>
      <c r="AD1" s="3">
        <f t="shared" si="0"/>
        <v>0</v>
      </c>
      <c r="AE1" s="3" t="str">
        <f>AE$2&amp;AE4</f>
        <v>CHEMISTRYCA</v>
      </c>
      <c r="AF1" s="3" t="str">
        <f>AE$2&amp;AF4</f>
        <v>CHEMISTRYExam.</v>
      </c>
      <c r="AG1" s="3">
        <f t="shared" si="0"/>
        <v>0</v>
      </c>
      <c r="AH1" s="3">
        <f t="shared" si="0"/>
        <v>0</v>
      </c>
      <c r="AI1" s="3" t="str">
        <f>AI$2&amp;AI4</f>
        <v>GEOGRAPHYCA</v>
      </c>
      <c r="AJ1" s="3" t="str">
        <f>AI$2&amp;AJ4</f>
        <v>GEOGRAPHYExam.</v>
      </c>
      <c r="AK1" s="3">
        <f t="shared" si="0"/>
        <v>0</v>
      </c>
      <c r="AL1" s="3">
        <f t="shared" si="0"/>
        <v>0</v>
      </c>
      <c r="AM1" s="3" t="str">
        <f>AM$2&amp;AM4</f>
        <v>CIVIC EDUCATIONCA</v>
      </c>
      <c r="AN1" s="3" t="str">
        <f>AM$2&amp;AN4</f>
        <v>CIVIC EDUCATIONExam.</v>
      </c>
      <c r="AO1" s="3">
        <f t="shared" si="0"/>
        <v>0</v>
      </c>
      <c r="AP1" s="3">
        <f t="shared" si="0"/>
        <v>0</v>
      </c>
      <c r="AQ1" s="3" t="str">
        <f>AQ$2&amp;AQ4</f>
        <v>AGRICULTURAL SCIENCECA</v>
      </c>
      <c r="AR1" s="3" t="str">
        <f>AQ$2&amp;AR4</f>
        <v>AGRICULTURAL SCIENCEExam.</v>
      </c>
      <c r="AS1" s="3">
        <f t="shared" si="0"/>
        <v>0</v>
      </c>
      <c r="AT1" s="3">
        <f t="shared" si="0"/>
        <v>0</v>
      </c>
      <c r="AU1" s="3" t="str">
        <f>AU$2&amp;AU4</f>
        <v>ICT/DATA PROCESSINGCA</v>
      </c>
      <c r="AV1" s="3" t="str">
        <f>AU$2&amp;AV4</f>
        <v>ICT/DATA PROCESSINGExam.</v>
      </c>
      <c r="AW1" s="3">
        <f t="shared" si="0"/>
        <v>0</v>
      </c>
      <c r="AX1" s="3">
        <f t="shared" si="0"/>
        <v>0</v>
      </c>
      <c r="AY1" s="3" t="str">
        <f>AY$2&amp;AY4</f>
        <v>QURANCA</v>
      </c>
      <c r="AZ1" s="3" t="str">
        <f>AY$2&amp;AZ4</f>
        <v>QURANExam.</v>
      </c>
      <c r="BA1" s="3">
        <f t="shared" si="0"/>
        <v>0</v>
      </c>
      <c r="BB1" s="3">
        <f t="shared" si="0"/>
        <v>0</v>
      </c>
      <c r="BC1" s="3" t="str">
        <f>BC$2&amp;BC4</f>
        <v>ARABICCA</v>
      </c>
      <c r="BD1" s="3" t="str">
        <f>BC$2&amp;BD4</f>
        <v>ARABICExam.</v>
      </c>
      <c r="BE1" s="3">
        <f t="shared" si="0"/>
        <v>0</v>
      </c>
      <c r="BF1" s="3">
        <f t="shared" si="0"/>
        <v>0</v>
      </c>
      <c r="BG1" s="3" t="str">
        <f>BG$2&amp;BG4</f>
        <v>ECONOMICSCA</v>
      </c>
      <c r="BH1" s="3" t="str">
        <f>BG$2&amp;BH4</f>
        <v>ECONOMICSExam.</v>
      </c>
      <c r="BI1" s="3">
        <f t="shared" si="0"/>
        <v>0</v>
      </c>
      <c r="BJ1" s="3">
        <f t="shared" si="0"/>
        <v>0</v>
      </c>
      <c r="BK1" s="3" t="str">
        <f>BK$2&amp;BK4</f>
        <v>YORUBA LANGUAGECA</v>
      </c>
      <c r="BL1" s="3" t="str">
        <f>BK$2&amp;BL4</f>
        <v>YORUBA LANGUAGEExam.</v>
      </c>
      <c r="BM1" s="3">
        <f t="shared" si="0"/>
        <v>0</v>
      </c>
      <c r="BN1" s="3">
        <f t="shared" si="0"/>
        <v>0</v>
      </c>
      <c r="BO1" s="3" t="str">
        <f>BO$2&amp;BO4</f>
        <v>BIOLOGYCA</v>
      </c>
      <c r="BP1" s="3" t="str">
        <f>BO$2&amp;BP4</f>
        <v>BIOLOGYExam.</v>
      </c>
      <c r="BQ1" s="3">
        <f t="shared" si="0"/>
        <v>0</v>
      </c>
      <c r="BR1" s="3">
        <f t="shared" si="0"/>
        <v>0</v>
      </c>
      <c r="BS1" s="3" t="str">
        <f>BS$2&amp;BS4</f>
        <v>FURTHER MATHEMATICSCA</v>
      </c>
      <c r="BT1" s="3" t="str">
        <f>BS$2&amp;BT4</f>
        <v>FURTHER MATHEMATICSExam.</v>
      </c>
      <c r="BU1" s="3">
        <f t="shared" si="0"/>
        <v>0</v>
      </c>
      <c r="BV1" s="3">
        <f t="shared" si="0"/>
        <v>0</v>
      </c>
      <c r="BW1" s="3" t="str">
        <f>BW$2&amp;BW4</f>
        <v>-CA</v>
      </c>
      <c r="BX1" s="3" t="str">
        <f>BW$2&amp;BX4</f>
        <v>-Exam.</v>
      </c>
      <c r="BY1" s="3">
        <f t="shared" si="0"/>
        <v>0</v>
      </c>
      <c r="BZ1" s="3">
        <f t="shared" si="0"/>
        <v>0</v>
      </c>
      <c r="CA1" s="3" t="str">
        <f>CA$2&amp;CA4</f>
        <v>-CA</v>
      </c>
      <c r="CB1" s="3" t="str">
        <f>CA$2&amp;CB4</f>
        <v>-Exam.</v>
      </c>
      <c r="CC1" s="3">
        <f>CC2</f>
        <v>0</v>
      </c>
      <c r="CE1" s="3" t="str">
        <f>CE$2&amp;CE4</f>
        <v>-CA</v>
      </c>
      <c r="CF1" s="3" t="str">
        <f>CE$2&amp;CF4</f>
        <v>-Exam.</v>
      </c>
      <c r="CH1"/>
      <c r="CI1" s="3" t="str">
        <f>CI$2&amp;CI4</f>
        <v>-CA</v>
      </c>
      <c r="CJ1" s="3" t="str">
        <f>CI$2&amp;CJ4</f>
        <v>-Exam.</v>
      </c>
      <c r="CM1" s="3" t="str">
        <f>CM$2&amp;CM4</f>
        <v>YORUBA LANGUAGECA</v>
      </c>
      <c r="CN1" s="3" t="str">
        <f>CM$2&amp;CN4</f>
        <v>YORUBA LANGUAGEExam.</v>
      </c>
      <c r="CO1" s="3">
        <f t="shared" si="0"/>
        <v>0</v>
      </c>
      <c r="CP1" s="3">
        <f t="shared" si="0"/>
        <v>0</v>
      </c>
      <c r="CQ1" s="3" t="str">
        <f>CQ$2&amp;CQ4</f>
        <v>BIOLOGYCA</v>
      </c>
      <c r="CR1" s="3" t="str">
        <f>CQ$2&amp;CR4</f>
        <v>BIOLOGYExam.</v>
      </c>
      <c r="CS1" s="3">
        <f t="shared" si="0"/>
        <v>0</v>
      </c>
      <c r="CT1" s="3">
        <f t="shared" si="0"/>
        <v>0</v>
      </c>
      <c r="CU1" s="3" t="str">
        <f>CU$2&amp;CU4</f>
        <v>FURTHER MATHEMATICSCA</v>
      </c>
      <c r="CV1" s="3" t="str">
        <f>CU$2&amp;CV4</f>
        <v>FURTHER MATHEMATICSExam.</v>
      </c>
      <c r="CW1" s="3">
        <f t="shared" si="0"/>
        <v>0</v>
      </c>
      <c r="CX1" s="3">
        <f t="shared" si="0"/>
        <v>0</v>
      </c>
      <c r="CY1" s="3" t="str">
        <f>CY$2&amp;CY4</f>
        <v>-CA</v>
      </c>
      <c r="CZ1" s="3" t="str">
        <f>CY$2&amp;CZ4</f>
        <v>-Exam.</v>
      </c>
      <c r="DA1" s="3">
        <f t="shared" si="0"/>
        <v>0</v>
      </c>
      <c r="DB1" s="3">
        <f t="shared" si="0"/>
        <v>0</v>
      </c>
      <c r="DC1" s="3" t="str">
        <f>DC$2&amp;DC4</f>
        <v>-CA</v>
      </c>
      <c r="DD1" s="3" t="str">
        <f>DC$2&amp;DD4</f>
        <v>-Exam.</v>
      </c>
      <c r="DE1" s="3">
        <f>DE2</f>
        <v>0</v>
      </c>
      <c r="DG1" s="3" t="str">
        <f>DG$2&amp;DG4</f>
        <v>-CA</v>
      </c>
      <c r="DH1" s="3" t="str">
        <f>DG$2&amp;DH4</f>
        <v>-Exam.</v>
      </c>
      <c r="DJ1"/>
      <c r="DK1" s="3" t="str">
        <f>DK$2&amp;DK4</f>
        <v>-CA</v>
      </c>
      <c r="DL1" s="3" t="str">
        <f>DK$2&amp;DL4</f>
        <v>-Exam.</v>
      </c>
      <c r="DX1" s="3" t="s">
        <v>67</v>
      </c>
      <c r="DY1" s="3" t="s">
        <v>10</v>
      </c>
    </row>
    <row r="2" spans="1:129" s="3" customFormat="1" ht="10.5" customHeight="1" thickBot="1">
      <c r="A2" s="239"/>
      <c r="B2" s="240"/>
      <c r="F2" s="150"/>
      <c r="S2" s="233" t="s">
        <v>86</v>
      </c>
      <c r="T2" s="233"/>
      <c r="U2" s="233"/>
      <c r="V2" s="150"/>
      <c r="W2" s="233" t="s">
        <v>87</v>
      </c>
      <c r="X2" s="233"/>
      <c r="Y2" s="233"/>
      <c r="Z2" s="150"/>
      <c r="AA2" s="233" t="s">
        <v>120</v>
      </c>
      <c r="AB2" s="233"/>
      <c r="AC2" s="233"/>
      <c r="AE2" s="233" t="s">
        <v>121</v>
      </c>
      <c r="AF2" s="233"/>
      <c r="AG2" s="233"/>
      <c r="AH2" s="150"/>
      <c r="AI2" s="233" t="s">
        <v>122</v>
      </c>
      <c r="AJ2" s="233"/>
      <c r="AK2" s="233"/>
      <c r="AL2" s="150"/>
      <c r="AM2" s="233" t="s">
        <v>88</v>
      </c>
      <c r="AN2" s="233"/>
      <c r="AO2" s="233"/>
      <c r="AP2" s="150"/>
      <c r="AQ2" s="233" t="s">
        <v>90</v>
      </c>
      <c r="AR2" s="233"/>
      <c r="AS2" s="233"/>
      <c r="AU2" s="233" t="s">
        <v>123</v>
      </c>
      <c r="AV2" s="233"/>
      <c r="AW2" s="233"/>
      <c r="AY2" s="233" t="s">
        <v>124</v>
      </c>
      <c r="AZ2" s="233"/>
      <c r="BA2" s="233"/>
      <c r="BB2" s="150"/>
      <c r="BC2" s="233" t="s">
        <v>125</v>
      </c>
      <c r="BD2" s="233"/>
      <c r="BE2" s="233"/>
      <c r="BG2" s="233" t="s">
        <v>126</v>
      </c>
      <c r="BH2" s="233"/>
      <c r="BI2" s="233"/>
      <c r="BK2" s="233" t="s">
        <v>89</v>
      </c>
      <c r="BL2" s="233"/>
      <c r="BM2" s="233"/>
      <c r="BO2" s="233" t="s">
        <v>127</v>
      </c>
      <c r="BP2" s="233"/>
      <c r="BQ2" s="233"/>
      <c r="BS2" s="242" t="s">
        <v>128</v>
      </c>
      <c r="BT2" s="242"/>
      <c r="BU2" s="242"/>
      <c r="BW2" s="233" t="s">
        <v>129</v>
      </c>
      <c r="BX2" s="233"/>
      <c r="BY2" s="233"/>
      <c r="CA2" s="233" t="s">
        <v>129</v>
      </c>
      <c r="CB2" s="233"/>
      <c r="CC2" s="233"/>
      <c r="CE2" s="233" t="s">
        <v>129</v>
      </c>
      <c r="CF2" s="233"/>
      <c r="CG2" s="233"/>
      <c r="CH2"/>
      <c r="CI2" s="233" t="s">
        <v>129</v>
      </c>
      <c r="CJ2" s="233"/>
      <c r="CK2" s="233"/>
      <c r="CM2" s="233" t="s">
        <v>89</v>
      </c>
      <c r="CN2" s="233"/>
      <c r="CO2" s="233"/>
      <c r="CQ2" s="233" t="s">
        <v>127</v>
      </c>
      <c r="CR2" s="233"/>
      <c r="CS2" s="233"/>
      <c r="CU2" s="242" t="s">
        <v>128</v>
      </c>
      <c r="CV2" s="242"/>
      <c r="CW2" s="242"/>
      <c r="CY2" s="233" t="s">
        <v>129</v>
      </c>
      <c r="CZ2" s="233"/>
      <c r="DA2" s="233"/>
      <c r="DC2" s="233" t="s">
        <v>129</v>
      </c>
      <c r="DD2" s="233"/>
      <c r="DE2" s="233"/>
      <c r="DG2" s="233" t="s">
        <v>129</v>
      </c>
      <c r="DH2" s="233"/>
      <c r="DI2" s="233"/>
      <c r="DJ2"/>
      <c r="DK2" s="233" t="s">
        <v>129</v>
      </c>
      <c r="DL2" s="233"/>
      <c r="DM2" s="233"/>
    </row>
    <row r="3" spans="1:129" s="7" customFormat="1" ht="10.5" customHeight="1" thickBot="1">
      <c r="A3" s="151"/>
      <c r="B3" s="151"/>
      <c r="C3" s="151"/>
      <c r="D3" s="151"/>
      <c r="E3" s="151"/>
      <c r="F3" s="150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234"/>
      <c r="T3" s="234"/>
      <c r="U3" s="234"/>
      <c r="V3" s="150"/>
      <c r="W3" s="233"/>
      <c r="X3" s="233"/>
      <c r="Y3" s="233"/>
      <c r="Z3" s="150"/>
      <c r="AA3" s="233"/>
      <c r="AB3" s="233"/>
      <c r="AC3" s="233"/>
      <c r="AD3" s="151"/>
      <c r="AE3" s="234"/>
      <c r="AF3" s="234"/>
      <c r="AG3" s="234"/>
      <c r="AH3" s="150"/>
      <c r="AI3" s="234"/>
      <c r="AJ3" s="234"/>
      <c r="AK3" s="234"/>
      <c r="AL3" s="150"/>
      <c r="AM3" s="234"/>
      <c r="AN3" s="234"/>
      <c r="AO3" s="234"/>
      <c r="AP3" s="150"/>
      <c r="AQ3" s="234"/>
      <c r="AR3" s="234"/>
      <c r="AS3" s="234"/>
      <c r="AT3" s="151"/>
      <c r="AU3" s="234"/>
      <c r="AV3" s="234"/>
      <c r="AW3" s="234"/>
      <c r="AX3" s="151"/>
      <c r="AY3" s="234"/>
      <c r="AZ3" s="234"/>
      <c r="BA3" s="234"/>
      <c r="BB3" s="150"/>
      <c r="BC3" s="234"/>
      <c r="BD3" s="234"/>
      <c r="BE3" s="234"/>
      <c r="BF3" s="151"/>
      <c r="BG3" s="234"/>
      <c r="BH3" s="234"/>
      <c r="BI3" s="234"/>
      <c r="BJ3" s="151"/>
      <c r="BK3" s="234"/>
      <c r="BL3" s="234"/>
      <c r="BM3" s="234"/>
      <c r="BN3" s="151"/>
      <c r="BO3" s="234"/>
      <c r="BP3" s="234"/>
      <c r="BQ3" s="234"/>
      <c r="BR3" s="151"/>
      <c r="BS3" s="243"/>
      <c r="BT3" s="243"/>
      <c r="BU3" s="243"/>
      <c r="BV3" s="151"/>
      <c r="BW3" s="234"/>
      <c r="BX3" s="234"/>
      <c r="BY3" s="234"/>
      <c r="BZ3" s="151"/>
      <c r="CA3" s="234"/>
      <c r="CB3" s="234"/>
      <c r="CC3" s="234"/>
      <c r="CD3" s="30"/>
      <c r="CE3" s="234"/>
      <c r="CF3" s="234"/>
      <c r="CG3" s="234"/>
      <c r="CI3" s="234"/>
      <c r="CJ3" s="234"/>
      <c r="CK3" s="234"/>
      <c r="CM3" s="234"/>
      <c r="CN3" s="234"/>
      <c r="CO3" s="234"/>
      <c r="CP3" s="151"/>
      <c r="CQ3" s="234"/>
      <c r="CR3" s="234"/>
      <c r="CS3" s="234"/>
      <c r="CT3" s="151"/>
      <c r="CU3" s="243"/>
      <c r="CV3" s="243"/>
      <c r="CW3" s="243"/>
      <c r="CX3" s="151"/>
      <c r="CY3" s="234"/>
      <c r="CZ3" s="234"/>
      <c r="DA3" s="234"/>
      <c r="DB3" s="151"/>
      <c r="DC3" s="234"/>
      <c r="DD3" s="234"/>
      <c r="DE3" s="234"/>
      <c r="DF3" s="30"/>
      <c r="DG3" s="234"/>
      <c r="DH3" s="234"/>
      <c r="DI3" s="234"/>
      <c r="DK3" s="234"/>
      <c r="DL3" s="234"/>
      <c r="DM3" s="234"/>
      <c r="DO3" s="241" t="s">
        <v>75</v>
      </c>
      <c r="DP3" s="241"/>
      <c r="DQ3" s="241"/>
      <c r="DR3" s="241"/>
      <c r="DS3" s="241"/>
      <c r="DT3" s="172"/>
      <c r="DU3" s="171"/>
      <c r="DV3" s="171"/>
      <c r="DW3" s="171"/>
    </row>
    <row r="4" spans="1:129" ht="25.5" customHeight="1" thickBot="1">
      <c r="A4"/>
      <c r="B4"/>
      <c r="F4"/>
      <c r="H4" s="213"/>
      <c r="K4" s="6"/>
      <c r="R4"/>
      <c r="S4" s="78" t="s">
        <v>67</v>
      </c>
      <c r="T4" s="82" t="s">
        <v>36</v>
      </c>
      <c r="U4" s="88" t="s">
        <v>9</v>
      </c>
      <c r="V4" s="89"/>
      <c r="W4" s="78" t="s">
        <v>67</v>
      </c>
      <c r="X4" s="81" t="s">
        <v>36</v>
      </c>
      <c r="Y4" s="90" t="s">
        <v>9</v>
      </c>
      <c r="Z4" s="89"/>
      <c r="AA4" s="78" t="s">
        <v>67</v>
      </c>
      <c r="AB4" s="80" t="s">
        <v>36</v>
      </c>
      <c r="AC4" s="90" t="s">
        <v>9</v>
      </c>
      <c r="AD4" s="89"/>
      <c r="AE4" s="78" t="s">
        <v>67</v>
      </c>
      <c r="AF4" s="79" t="s">
        <v>36</v>
      </c>
      <c r="AG4" s="88" t="s">
        <v>9</v>
      </c>
      <c r="AH4" s="89"/>
      <c r="AI4" s="78" t="s">
        <v>67</v>
      </c>
      <c r="AJ4" s="82" t="s">
        <v>36</v>
      </c>
      <c r="AK4" s="88" t="s">
        <v>9</v>
      </c>
      <c r="AL4" s="89"/>
      <c r="AM4" s="78" t="s">
        <v>67</v>
      </c>
      <c r="AN4" s="82" t="s">
        <v>36</v>
      </c>
      <c r="AO4" s="88" t="s">
        <v>9</v>
      </c>
      <c r="AP4" s="89"/>
      <c r="AQ4" s="78" t="s">
        <v>67</v>
      </c>
      <c r="AR4" s="82" t="s">
        <v>36</v>
      </c>
      <c r="AS4" s="88" t="s">
        <v>9</v>
      </c>
      <c r="AT4" s="89"/>
      <c r="AU4" s="78" t="s">
        <v>67</v>
      </c>
      <c r="AV4" s="82" t="s">
        <v>36</v>
      </c>
      <c r="AW4" s="88" t="s">
        <v>9</v>
      </c>
      <c r="AX4" s="89"/>
      <c r="AY4" s="78" t="s">
        <v>67</v>
      </c>
      <c r="AZ4" s="82" t="s">
        <v>36</v>
      </c>
      <c r="BA4" s="88" t="s">
        <v>9</v>
      </c>
      <c r="BB4" s="89"/>
      <c r="BC4" s="78" t="s">
        <v>67</v>
      </c>
      <c r="BD4" s="82" t="s">
        <v>36</v>
      </c>
      <c r="BE4" s="88" t="s">
        <v>9</v>
      </c>
      <c r="BF4" s="89"/>
      <c r="BG4" s="78" t="s">
        <v>67</v>
      </c>
      <c r="BH4" s="82" t="s">
        <v>36</v>
      </c>
      <c r="BI4" s="88" t="s">
        <v>9</v>
      </c>
      <c r="BJ4" s="89"/>
      <c r="BK4" s="78" t="s">
        <v>67</v>
      </c>
      <c r="BL4" s="82" t="s">
        <v>36</v>
      </c>
      <c r="BM4" s="88" t="s">
        <v>9</v>
      </c>
      <c r="BN4" s="91"/>
      <c r="BO4" s="78" t="s">
        <v>67</v>
      </c>
      <c r="BP4" s="82" t="s">
        <v>36</v>
      </c>
      <c r="BQ4" s="78" t="s">
        <v>9</v>
      </c>
      <c r="BR4" s="89"/>
      <c r="BS4" s="78" t="s">
        <v>67</v>
      </c>
      <c r="BT4" s="82" t="s">
        <v>36</v>
      </c>
      <c r="BU4" s="78" t="s">
        <v>9</v>
      </c>
      <c r="BV4" s="89"/>
      <c r="BW4" s="78" t="s">
        <v>67</v>
      </c>
      <c r="BX4" s="82" t="s">
        <v>36</v>
      </c>
      <c r="BY4" s="78" t="s">
        <v>9</v>
      </c>
      <c r="BZ4" s="89"/>
      <c r="CA4" s="78" t="s">
        <v>67</v>
      </c>
      <c r="CB4" s="82" t="s">
        <v>36</v>
      </c>
      <c r="CC4" s="78" t="s">
        <v>9</v>
      </c>
      <c r="CD4" s="1"/>
      <c r="CE4" s="78" t="s">
        <v>67</v>
      </c>
      <c r="CF4" s="82" t="s">
        <v>36</v>
      </c>
      <c r="CG4" s="78" t="s">
        <v>9</v>
      </c>
      <c r="CI4" s="78" t="s">
        <v>67</v>
      </c>
      <c r="CJ4" s="82" t="s">
        <v>36</v>
      </c>
      <c r="CK4" s="78" t="s">
        <v>9</v>
      </c>
      <c r="CL4"/>
      <c r="CM4" s="78" t="s">
        <v>67</v>
      </c>
      <c r="CN4" s="82" t="s">
        <v>36</v>
      </c>
      <c r="CO4" s="88" t="s">
        <v>9</v>
      </c>
      <c r="CP4" s="91"/>
      <c r="CQ4" s="78" t="s">
        <v>67</v>
      </c>
      <c r="CR4" s="82" t="s">
        <v>36</v>
      </c>
      <c r="CS4" s="78" t="s">
        <v>9</v>
      </c>
      <c r="CT4" s="89"/>
      <c r="CU4" s="78" t="s">
        <v>67</v>
      </c>
      <c r="CV4" s="82" t="s">
        <v>36</v>
      </c>
      <c r="CW4" s="78" t="s">
        <v>9</v>
      </c>
      <c r="CX4" s="89"/>
      <c r="CY4" s="78" t="s">
        <v>67</v>
      </c>
      <c r="CZ4" s="82" t="s">
        <v>36</v>
      </c>
      <c r="DA4" s="78" t="s">
        <v>9</v>
      </c>
      <c r="DB4" s="89"/>
      <c r="DC4" s="78" t="s">
        <v>67</v>
      </c>
      <c r="DD4" s="82" t="s">
        <v>36</v>
      </c>
      <c r="DE4" s="78" t="s">
        <v>9</v>
      </c>
      <c r="DF4" s="1"/>
      <c r="DG4" s="78" t="s">
        <v>67</v>
      </c>
      <c r="DH4" s="82" t="s">
        <v>36</v>
      </c>
      <c r="DI4" s="78" t="s">
        <v>9</v>
      </c>
      <c r="DK4" s="78" t="s">
        <v>67</v>
      </c>
      <c r="DL4" s="82" t="s">
        <v>36</v>
      </c>
      <c r="DM4" s="78" t="s">
        <v>9</v>
      </c>
      <c r="DN4"/>
      <c r="DT4" s="244" t="s">
        <v>78</v>
      </c>
      <c r="DU4" s="245"/>
      <c r="DV4" s="245"/>
      <c r="DW4" s="245"/>
    </row>
    <row r="5" spans="1:129" s="87" customFormat="1" ht="24" customHeight="1">
      <c r="A5" s="83" t="s">
        <v>71</v>
      </c>
      <c r="B5" s="84" t="s">
        <v>70</v>
      </c>
      <c r="C5" s="103" t="s">
        <v>83</v>
      </c>
      <c r="D5" s="104" t="s">
        <v>2</v>
      </c>
      <c r="E5" s="105" t="s">
        <v>25</v>
      </c>
      <c r="F5" s="85"/>
      <c r="G5" s="99" t="s">
        <v>26</v>
      </c>
      <c r="H5" s="100" t="s">
        <v>3</v>
      </c>
      <c r="I5" s="101" t="s">
        <v>92</v>
      </c>
      <c r="J5" s="102" t="s">
        <v>93</v>
      </c>
      <c r="K5" s="86"/>
      <c r="L5" s="96" t="s">
        <v>4</v>
      </c>
      <c r="M5" s="97" t="s">
        <v>5</v>
      </c>
      <c r="N5" s="96" t="s">
        <v>6</v>
      </c>
      <c r="O5" s="97" t="s">
        <v>7</v>
      </c>
      <c r="P5" s="97" t="s">
        <v>8</v>
      </c>
      <c r="Q5" s="98" t="s">
        <v>82</v>
      </c>
      <c r="R5" s="86"/>
      <c r="S5" s="118">
        <v>40</v>
      </c>
      <c r="T5" s="119">
        <v>60</v>
      </c>
      <c r="U5" s="120">
        <f>S5+T5</f>
        <v>100</v>
      </c>
      <c r="V5" s="122"/>
      <c r="W5" s="120">
        <v>40</v>
      </c>
      <c r="X5" s="120">
        <v>60</v>
      </c>
      <c r="Y5" s="121">
        <f t="shared" ref="Y5:Y68" si="1">W5+X5</f>
        <v>100</v>
      </c>
      <c r="Z5" s="122"/>
      <c r="AA5" s="120">
        <v>40</v>
      </c>
      <c r="AB5" s="120">
        <v>60</v>
      </c>
      <c r="AC5" s="121">
        <f t="shared" ref="AC5:AC68" si="2">AA5+AB5</f>
        <v>100</v>
      </c>
      <c r="AD5" s="122"/>
      <c r="AE5" s="120">
        <v>40</v>
      </c>
      <c r="AF5" s="120">
        <v>60</v>
      </c>
      <c r="AG5" s="121">
        <f t="shared" ref="AG5:AG68" si="3">AE5+AF5</f>
        <v>100</v>
      </c>
      <c r="AH5" s="122"/>
      <c r="AI5" s="123">
        <v>40</v>
      </c>
      <c r="AJ5" s="124">
        <v>60</v>
      </c>
      <c r="AK5" s="121">
        <f t="shared" ref="AK5:AK68" si="4">AI5+AJ5</f>
        <v>100</v>
      </c>
      <c r="AL5" s="122"/>
      <c r="AM5" s="123">
        <v>40</v>
      </c>
      <c r="AN5" s="124">
        <v>60</v>
      </c>
      <c r="AO5" s="121">
        <f t="shared" ref="AO5:AO68" si="5">AM5+AN5</f>
        <v>100</v>
      </c>
      <c r="AP5" s="122"/>
      <c r="AQ5" s="125">
        <v>40</v>
      </c>
      <c r="AR5" s="123">
        <v>60</v>
      </c>
      <c r="AS5" s="121">
        <f t="shared" ref="AS5:AS68" si="6">AQ5+AR5</f>
        <v>100</v>
      </c>
      <c r="AT5" s="122"/>
      <c r="AU5" s="125">
        <v>40</v>
      </c>
      <c r="AV5" s="123">
        <v>60</v>
      </c>
      <c r="AW5" s="126">
        <v>100</v>
      </c>
      <c r="AX5" s="122"/>
      <c r="AY5" s="125">
        <v>40</v>
      </c>
      <c r="AZ5" s="123">
        <v>60</v>
      </c>
      <c r="BA5" s="121">
        <f t="shared" ref="BA5:BA68" si="7">AY5+AZ5</f>
        <v>100</v>
      </c>
      <c r="BB5" s="122"/>
      <c r="BC5" s="125">
        <v>40</v>
      </c>
      <c r="BD5" s="123">
        <v>60</v>
      </c>
      <c r="BE5" s="121">
        <f t="shared" ref="BE5:BE68" si="8">BC5+BD5</f>
        <v>100</v>
      </c>
      <c r="BF5" s="122"/>
      <c r="BG5" s="125">
        <v>40</v>
      </c>
      <c r="BH5" s="123">
        <v>60</v>
      </c>
      <c r="BI5" s="121">
        <f t="shared" ref="BI5:BI68" si="9">BG5+BH5</f>
        <v>100</v>
      </c>
      <c r="BJ5" s="122"/>
      <c r="BK5" s="125">
        <v>40</v>
      </c>
      <c r="BL5" s="123">
        <v>60</v>
      </c>
      <c r="BM5" s="121">
        <f t="shared" ref="BM5:BM68" si="10">BK5+BL5</f>
        <v>100</v>
      </c>
      <c r="BN5" s="122"/>
      <c r="BO5" s="125">
        <v>40</v>
      </c>
      <c r="BP5" s="123">
        <v>60</v>
      </c>
      <c r="BQ5" s="121">
        <f t="shared" ref="BQ5:BQ68" si="11">BO5+BP5</f>
        <v>100</v>
      </c>
      <c r="BR5" s="122"/>
      <c r="BS5" s="125">
        <v>40</v>
      </c>
      <c r="BT5" s="123">
        <v>60</v>
      </c>
      <c r="BU5" s="121">
        <f t="shared" ref="BU5:BU68" si="12">BS5+BT5</f>
        <v>100</v>
      </c>
      <c r="BV5" s="122"/>
      <c r="BW5" s="125">
        <v>40</v>
      </c>
      <c r="BX5" s="123">
        <v>60</v>
      </c>
      <c r="BY5" s="121">
        <f t="shared" ref="BY5:BY68" si="13">BW5+BX5</f>
        <v>100</v>
      </c>
      <c r="BZ5" s="122"/>
      <c r="CA5" s="127">
        <v>40</v>
      </c>
      <c r="CB5" s="123">
        <v>60</v>
      </c>
      <c r="CC5" s="121">
        <f t="shared" ref="CC5:CC68" si="14">CA5+CB5</f>
        <v>100</v>
      </c>
      <c r="CD5" s="111"/>
      <c r="CE5" s="127">
        <v>40</v>
      </c>
      <c r="CF5" s="123">
        <v>60</v>
      </c>
      <c r="CG5" s="121">
        <f t="shared" ref="CG5:CG68" si="15">CE5+CF5</f>
        <v>100</v>
      </c>
      <c r="CI5" s="127">
        <v>40</v>
      </c>
      <c r="CJ5" s="123">
        <v>60</v>
      </c>
      <c r="CK5" s="121">
        <f t="shared" ref="CK5:CK68" si="16">CI5+CJ5</f>
        <v>100</v>
      </c>
      <c r="CM5" s="125">
        <v>40</v>
      </c>
      <c r="CN5" s="123">
        <v>60</v>
      </c>
      <c r="CO5" s="121">
        <f t="shared" ref="CO5:CO68" si="17">CM5+CN5</f>
        <v>100</v>
      </c>
      <c r="CP5" s="122"/>
      <c r="CQ5" s="125">
        <v>40</v>
      </c>
      <c r="CR5" s="123">
        <v>60</v>
      </c>
      <c r="CS5" s="121">
        <f t="shared" ref="CS5:CS68" si="18">CQ5+CR5</f>
        <v>100</v>
      </c>
      <c r="CT5" s="122"/>
      <c r="CU5" s="125">
        <v>40</v>
      </c>
      <c r="CV5" s="123">
        <v>60</v>
      </c>
      <c r="CW5" s="121">
        <f t="shared" ref="CW5:CW68" si="19">CU5+CV5</f>
        <v>100</v>
      </c>
      <c r="CX5" s="122"/>
      <c r="CY5" s="125">
        <v>40</v>
      </c>
      <c r="CZ5" s="123">
        <v>60</v>
      </c>
      <c r="DA5" s="121">
        <f t="shared" ref="DA5:DA68" si="20">CY5+CZ5</f>
        <v>100</v>
      </c>
      <c r="DB5" s="122"/>
      <c r="DC5" s="127">
        <v>40</v>
      </c>
      <c r="DD5" s="123">
        <v>60</v>
      </c>
      <c r="DE5" s="121">
        <f t="shared" ref="DE5:DE68" si="21">DC5+DD5</f>
        <v>100</v>
      </c>
      <c r="DF5" s="111"/>
      <c r="DG5" s="127">
        <v>40</v>
      </c>
      <c r="DH5" s="123">
        <v>60</v>
      </c>
      <c r="DI5" s="121">
        <f t="shared" ref="DI5:DI36" si="22">DG5+DH5</f>
        <v>100</v>
      </c>
      <c r="DK5" s="127">
        <v>40</v>
      </c>
      <c r="DL5" s="123">
        <v>60</v>
      </c>
      <c r="DM5" s="121">
        <f t="shared" ref="DM5:DM36" si="23">DK5+DL5</f>
        <v>100</v>
      </c>
      <c r="DO5" s="106" t="s">
        <v>69</v>
      </c>
      <c r="DP5" s="112"/>
      <c r="DQ5" s="108" t="s">
        <v>15</v>
      </c>
      <c r="DR5" s="112"/>
      <c r="DS5" s="109" t="s">
        <v>68</v>
      </c>
      <c r="DT5" s="133" t="s">
        <v>79</v>
      </c>
      <c r="DU5" s="133" t="s">
        <v>80</v>
      </c>
      <c r="DV5" s="106" t="s">
        <v>81</v>
      </c>
      <c r="DW5" s="133" t="s">
        <v>16</v>
      </c>
    </row>
    <row r="6" spans="1:129">
      <c r="A6" s="75">
        <v>1</v>
      </c>
      <c r="B6" s="76" t="s">
        <v>109</v>
      </c>
      <c r="C6" s="34">
        <v>122</v>
      </c>
      <c r="D6" s="34">
        <v>111</v>
      </c>
      <c r="E6" s="34">
        <v>3</v>
      </c>
      <c r="F6"/>
      <c r="G6" s="31">
        <v>4</v>
      </c>
      <c r="H6" s="34">
        <v>3</v>
      </c>
      <c r="I6" s="31">
        <v>4</v>
      </c>
      <c r="J6" s="34">
        <v>2</v>
      </c>
      <c r="K6" s="5"/>
      <c r="L6" s="32">
        <v>3</v>
      </c>
      <c r="M6" s="32">
        <v>3</v>
      </c>
      <c r="N6" s="32">
        <v>3</v>
      </c>
      <c r="O6" s="32">
        <v>3</v>
      </c>
      <c r="P6" s="32">
        <v>3</v>
      </c>
      <c r="Q6" s="32">
        <v>3</v>
      </c>
      <c r="R6" s="5"/>
      <c r="S6" s="114"/>
      <c r="T6" s="114"/>
      <c r="U6" s="115">
        <f t="shared" ref="U6:U69" si="24">S6+T6</f>
        <v>0</v>
      </c>
      <c r="V6" s="116"/>
      <c r="W6" s="114"/>
      <c r="X6" s="114"/>
      <c r="Y6" s="115">
        <f t="shared" si="1"/>
        <v>0</v>
      </c>
      <c r="Z6" s="116"/>
      <c r="AA6" s="114"/>
      <c r="AB6" s="114"/>
      <c r="AC6" s="115">
        <f t="shared" si="2"/>
        <v>0</v>
      </c>
      <c r="AD6" s="114"/>
      <c r="AE6" s="114"/>
      <c r="AF6" s="114"/>
      <c r="AG6" s="115">
        <f t="shared" si="3"/>
        <v>0</v>
      </c>
      <c r="AH6" s="116"/>
      <c r="AI6" s="114"/>
      <c r="AJ6" s="114"/>
      <c r="AK6" s="115">
        <f t="shared" si="4"/>
        <v>0</v>
      </c>
      <c r="AL6" s="116"/>
      <c r="AM6" s="114"/>
      <c r="AN6" s="114"/>
      <c r="AO6" s="115">
        <f t="shared" si="5"/>
        <v>0</v>
      </c>
      <c r="AP6" s="116"/>
      <c r="AQ6" s="114"/>
      <c r="AR6" s="114"/>
      <c r="AS6" s="115">
        <f t="shared" si="6"/>
        <v>0</v>
      </c>
      <c r="AT6" s="114"/>
      <c r="AU6" s="114"/>
      <c r="AV6" s="114"/>
      <c r="AW6" s="117">
        <f t="shared" ref="AW6:AW37" si="25">SUM(AU6:AV6)</f>
        <v>0</v>
      </c>
      <c r="AX6" s="114"/>
      <c r="AY6" s="114"/>
      <c r="AZ6" s="114"/>
      <c r="BA6" s="115">
        <f t="shared" si="7"/>
        <v>0</v>
      </c>
      <c r="BB6" s="116"/>
      <c r="BC6" s="114"/>
      <c r="BD6" s="114"/>
      <c r="BE6" s="115">
        <f t="shared" si="8"/>
        <v>0</v>
      </c>
      <c r="BF6" s="114"/>
      <c r="BG6" s="114"/>
      <c r="BH6" s="114"/>
      <c r="BI6" s="115"/>
      <c r="BJ6" s="114"/>
      <c r="BK6" s="114"/>
      <c r="BL6" s="114"/>
      <c r="BM6" s="115">
        <f t="shared" si="10"/>
        <v>0</v>
      </c>
      <c r="BN6" s="114"/>
      <c r="BO6" s="114"/>
      <c r="BP6" s="114"/>
      <c r="BQ6" s="115">
        <f t="shared" si="11"/>
        <v>0</v>
      </c>
      <c r="BR6" s="114"/>
      <c r="BS6" s="114"/>
      <c r="BT6" s="114"/>
      <c r="BU6" s="115">
        <f t="shared" si="12"/>
        <v>0</v>
      </c>
      <c r="BV6" s="114"/>
      <c r="BW6" s="114"/>
      <c r="BX6" s="114"/>
      <c r="BY6" s="115">
        <f t="shared" si="13"/>
        <v>0</v>
      </c>
      <c r="BZ6" s="114"/>
      <c r="CA6" s="114"/>
      <c r="CB6" s="114"/>
      <c r="CC6" s="115">
        <f t="shared" si="14"/>
        <v>0</v>
      </c>
      <c r="CD6" s="5"/>
      <c r="CE6" s="114"/>
      <c r="CF6" s="114"/>
      <c r="CG6" s="115">
        <f t="shared" si="15"/>
        <v>0</v>
      </c>
      <c r="CI6" s="114"/>
      <c r="CJ6" s="114"/>
      <c r="CK6" s="115">
        <f t="shared" si="16"/>
        <v>0</v>
      </c>
      <c r="CM6" s="114"/>
      <c r="CN6" s="114"/>
      <c r="CO6" s="115">
        <f t="shared" si="17"/>
        <v>0</v>
      </c>
      <c r="CP6" s="114"/>
      <c r="CQ6" s="114"/>
      <c r="CR6" s="114"/>
      <c r="CS6" s="115">
        <f t="shared" si="18"/>
        <v>0</v>
      </c>
      <c r="CT6" s="114"/>
      <c r="CU6" s="114"/>
      <c r="CV6" s="114"/>
      <c r="CW6" s="115">
        <f t="shared" si="19"/>
        <v>0</v>
      </c>
      <c r="CX6" s="114"/>
      <c r="CY6" s="114"/>
      <c r="CZ6" s="114"/>
      <c r="DA6" s="115">
        <f t="shared" si="20"/>
        <v>0</v>
      </c>
      <c r="DB6" s="114"/>
      <c r="DC6" s="114"/>
      <c r="DD6" s="114"/>
      <c r="DE6" s="115">
        <f t="shared" si="21"/>
        <v>0</v>
      </c>
      <c r="DF6" s="5"/>
      <c r="DG6" s="114"/>
      <c r="DH6" s="114"/>
      <c r="DI6" s="115">
        <f t="shared" si="22"/>
        <v>0</v>
      </c>
      <c r="DK6" s="114"/>
      <c r="DL6" s="114"/>
      <c r="DM6" s="115">
        <f t="shared" si="23"/>
        <v>0</v>
      </c>
      <c r="DO6" s="107">
        <f t="shared" ref="DO6:DO37" si="26">SUMIF($S$4:$DM$4,$DM$4,$S6:$DM6)</f>
        <v>0</v>
      </c>
      <c r="DP6" s="113"/>
      <c r="DQ6" s="129" t="str">
        <f t="shared" ref="DQ6:DQ37" si="27">IFERROR(DO6/(COUNTIFS($S6:$DM6,"&gt;0",$S$4:$DM$4,$DM$4)*100),"-")</f>
        <v>-</v>
      </c>
      <c r="DR6"/>
      <c r="DS6" s="173" t="str">
        <f>IFERROR(RANK(DQ6,$DQ$6:$DQ$70)&amp;LOOKUP(RANK(DQ6,$DQ$6:$DQ$70),{1,2,3,4;"st","nd","rd","th"}),"-")</f>
        <v>-</v>
      </c>
      <c r="DT6" s="156">
        <f>'FIRST TERM'!DO6</f>
        <v>590</v>
      </c>
      <c r="DU6" s="157">
        <f>'SECOND TERM'!DO6</f>
        <v>393</v>
      </c>
      <c r="DV6" s="158">
        <f>DO6+DT6+DU6</f>
        <v>983</v>
      </c>
      <c r="DW6" s="174" t="str">
        <f>RANK(DV6,$DV$6:$DV$70)&amp;LOOKUP(RANK(DV6,$DV$6:$DV$70),{1,2,3,4;"st","nd","rd","th"})</f>
        <v>5th</v>
      </c>
    </row>
    <row r="7" spans="1:129">
      <c r="A7" s="75">
        <v>2</v>
      </c>
      <c r="B7" s="74" t="s">
        <v>110</v>
      </c>
      <c r="C7" s="33">
        <v>102</v>
      </c>
      <c r="D7" s="34">
        <v>94</v>
      </c>
      <c r="E7" s="35">
        <v>8</v>
      </c>
      <c r="F7"/>
      <c r="G7" s="34"/>
      <c r="H7" s="34"/>
      <c r="I7" s="34"/>
      <c r="J7" s="34"/>
      <c r="K7" s="5"/>
      <c r="L7" s="36"/>
      <c r="M7" s="36"/>
      <c r="N7" s="36"/>
      <c r="O7" s="36"/>
      <c r="P7" s="36"/>
      <c r="Q7" s="36"/>
      <c r="R7" s="5"/>
      <c r="S7" s="114"/>
      <c r="T7" s="114"/>
      <c r="U7" s="115">
        <f t="shared" si="24"/>
        <v>0</v>
      </c>
      <c r="V7" s="116"/>
      <c r="W7" s="114"/>
      <c r="X7" s="114"/>
      <c r="Y7" s="115">
        <f>W7+X7</f>
        <v>0</v>
      </c>
      <c r="Z7" s="116"/>
      <c r="AA7" s="114"/>
      <c r="AB7" s="114"/>
      <c r="AC7" s="115">
        <f t="shared" si="2"/>
        <v>0</v>
      </c>
      <c r="AD7" s="114"/>
      <c r="AE7" s="114"/>
      <c r="AF7" s="114"/>
      <c r="AG7" s="115">
        <f t="shared" si="3"/>
        <v>0</v>
      </c>
      <c r="AH7" s="116"/>
      <c r="AI7" s="114"/>
      <c r="AJ7" s="114"/>
      <c r="AK7" s="115">
        <f t="shared" si="4"/>
        <v>0</v>
      </c>
      <c r="AL7" s="116"/>
      <c r="AM7" s="114"/>
      <c r="AN7" s="114"/>
      <c r="AO7" s="115">
        <f t="shared" si="5"/>
        <v>0</v>
      </c>
      <c r="AP7" s="116"/>
      <c r="AQ7" s="114"/>
      <c r="AR7" s="114"/>
      <c r="AS7" s="115">
        <f t="shared" si="6"/>
        <v>0</v>
      </c>
      <c r="AT7" s="114"/>
      <c r="AU7" s="114"/>
      <c r="AV7" s="114"/>
      <c r="AW7" s="117">
        <f t="shared" si="25"/>
        <v>0</v>
      </c>
      <c r="AX7" s="114"/>
      <c r="AY7" s="114"/>
      <c r="AZ7" s="114"/>
      <c r="BA7" s="115">
        <f t="shared" si="7"/>
        <v>0</v>
      </c>
      <c r="BB7" s="116"/>
      <c r="BC7" s="114"/>
      <c r="BD7" s="114"/>
      <c r="BE7" s="115">
        <f t="shared" si="8"/>
        <v>0</v>
      </c>
      <c r="BF7" s="114"/>
      <c r="BG7" s="114"/>
      <c r="BH7" s="114"/>
      <c r="BI7" s="115">
        <f t="shared" si="9"/>
        <v>0</v>
      </c>
      <c r="BJ7" s="114"/>
      <c r="BK7" s="114"/>
      <c r="BL7" s="114"/>
      <c r="BM7" s="115">
        <f t="shared" si="10"/>
        <v>0</v>
      </c>
      <c r="BN7" s="114"/>
      <c r="BO7" s="114"/>
      <c r="BP7" s="114"/>
      <c r="BQ7" s="115">
        <f t="shared" si="11"/>
        <v>0</v>
      </c>
      <c r="BR7" s="114"/>
      <c r="BS7" s="114"/>
      <c r="BT7" s="114"/>
      <c r="BU7" s="115">
        <f t="shared" si="12"/>
        <v>0</v>
      </c>
      <c r="BV7" s="114"/>
      <c r="BW7" s="114"/>
      <c r="BX7" s="114"/>
      <c r="BY7" s="115">
        <f t="shared" si="13"/>
        <v>0</v>
      </c>
      <c r="BZ7" s="114"/>
      <c r="CA7" s="114"/>
      <c r="CB7" s="114"/>
      <c r="CC7" s="115">
        <f t="shared" si="14"/>
        <v>0</v>
      </c>
      <c r="CD7" s="5"/>
      <c r="CE7" s="114"/>
      <c r="CF7" s="114"/>
      <c r="CG7" s="115">
        <f t="shared" si="15"/>
        <v>0</v>
      </c>
      <c r="CI7" s="114"/>
      <c r="CJ7" s="114"/>
      <c r="CK7" s="115">
        <f t="shared" si="16"/>
        <v>0</v>
      </c>
      <c r="CM7" s="114"/>
      <c r="CN7" s="114"/>
      <c r="CO7" s="115">
        <f t="shared" si="17"/>
        <v>0</v>
      </c>
      <c r="CP7" s="114"/>
      <c r="CQ7" s="114"/>
      <c r="CR7" s="114"/>
      <c r="CS7" s="115">
        <f t="shared" si="18"/>
        <v>0</v>
      </c>
      <c r="CT7" s="114"/>
      <c r="CU7" s="114"/>
      <c r="CV7" s="114"/>
      <c r="CW7" s="115">
        <f t="shared" si="19"/>
        <v>0</v>
      </c>
      <c r="CX7" s="114"/>
      <c r="CY7" s="114"/>
      <c r="CZ7" s="114"/>
      <c r="DA7" s="115">
        <f t="shared" si="20"/>
        <v>0</v>
      </c>
      <c r="DB7" s="114"/>
      <c r="DC7" s="114"/>
      <c r="DD7" s="114"/>
      <c r="DE7" s="115">
        <f t="shared" si="21"/>
        <v>0</v>
      </c>
      <c r="DF7" s="5"/>
      <c r="DG7" s="114"/>
      <c r="DH7" s="114"/>
      <c r="DI7" s="115">
        <f t="shared" si="22"/>
        <v>0</v>
      </c>
      <c r="DK7" s="114"/>
      <c r="DL7" s="114"/>
      <c r="DM7" s="115">
        <f t="shared" si="23"/>
        <v>0</v>
      </c>
      <c r="DO7" s="107">
        <f t="shared" si="26"/>
        <v>0</v>
      </c>
      <c r="DP7"/>
      <c r="DQ7" s="129" t="str">
        <f t="shared" si="27"/>
        <v>-</v>
      </c>
      <c r="DR7"/>
      <c r="DS7" s="173" t="str">
        <f>IFERROR(RANK(DQ7,$DQ$6:$DQ$70)&amp;LOOKUP(RANK(DQ7,$DQ$6:$DQ$70),{1,2,3,4;"st","nd","rd","th"}),"-")</f>
        <v>-</v>
      </c>
      <c r="DT7" s="159">
        <f>'FIRST TERM'!DO7</f>
        <v>746</v>
      </c>
      <c r="DU7" s="160">
        <f>'SECOND TERM'!DO7</f>
        <v>438</v>
      </c>
      <c r="DV7" s="158">
        <f t="shared" ref="DV7:DV70" si="28">DO7+DT7+DU7</f>
        <v>1184</v>
      </c>
      <c r="DW7" s="175" t="str">
        <f>RANK(DV7,$DV$6:$DV$70)&amp;LOOKUP(RANK(DV7,$DV$6:$DV$70),{1,2,3,4;"st","nd","rd","th"})</f>
        <v>4th</v>
      </c>
    </row>
    <row r="8" spans="1:129">
      <c r="A8" s="75">
        <v>3</v>
      </c>
      <c r="B8" s="74" t="s">
        <v>111</v>
      </c>
      <c r="C8" s="33"/>
      <c r="D8" s="34"/>
      <c r="E8" s="35"/>
      <c r="F8"/>
      <c r="G8" s="34">
        <v>5</v>
      </c>
      <c r="H8" s="34">
        <v>2</v>
      </c>
      <c r="I8" s="34"/>
      <c r="J8" s="34"/>
      <c r="K8" s="5"/>
      <c r="L8" s="36">
        <v>4</v>
      </c>
      <c r="M8" s="36">
        <v>4</v>
      </c>
      <c r="N8" s="36">
        <v>4</v>
      </c>
      <c r="O8" s="36">
        <v>4</v>
      </c>
      <c r="P8" s="36">
        <v>4</v>
      </c>
      <c r="Q8" s="36">
        <v>4</v>
      </c>
      <c r="R8" s="5"/>
      <c r="S8" s="114"/>
      <c r="T8" s="114"/>
      <c r="U8" s="115">
        <f t="shared" si="24"/>
        <v>0</v>
      </c>
      <c r="V8" s="116"/>
      <c r="W8" s="114"/>
      <c r="X8" s="114"/>
      <c r="Y8" s="115">
        <f t="shared" si="1"/>
        <v>0</v>
      </c>
      <c r="Z8" s="116"/>
      <c r="AA8" s="114"/>
      <c r="AB8" s="114"/>
      <c r="AC8" s="115">
        <f t="shared" si="2"/>
        <v>0</v>
      </c>
      <c r="AD8" s="114"/>
      <c r="AE8" s="114"/>
      <c r="AF8" s="114"/>
      <c r="AG8" s="115">
        <f t="shared" si="3"/>
        <v>0</v>
      </c>
      <c r="AH8" s="116"/>
      <c r="AI8" s="114"/>
      <c r="AJ8" s="114"/>
      <c r="AK8" s="115">
        <f t="shared" si="4"/>
        <v>0</v>
      </c>
      <c r="AL8" s="116"/>
      <c r="AM8" s="114"/>
      <c r="AN8" s="114"/>
      <c r="AO8" s="115">
        <f t="shared" si="5"/>
        <v>0</v>
      </c>
      <c r="AP8" s="116"/>
      <c r="AQ8" s="114"/>
      <c r="AR8" s="114"/>
      <c r="AS8" s="115">
        <f t="shared" si="6"/>
        <v>0</v>
      </c>
      <c r="AT8" s="114"/>
      <c r="AU8" s="114"/>
      <c r="AV8" s="114"/>
      <c r="AW8" s="117">
        <f t="shared" si="25"/>
        <v>0</v>
      </c>
      <c r="AX8" s="114"/>
      <c r="AY8" s="114"/>
      <c r="AZ8" s="114"/>
      <c r="BA8" s="115">
        <f t="shared" si="7"/>
        <v>0</v>
      </c>
      <c r="BB8" s="116"/>
      <c r="BC8" s="114"/>
      <c r="BD8" s="114"/>
      <c r="BE8" s="115">
        <f t="shared" si="8"/>
        <v>0</v>
      </c>
      <c r="BF8" s="114"/>
      <c r="BG8" s="114"/>
      <c r="BH8" s="114"/>
      <c r="BI8" s="115">
        <f t="shared" si="9"/>
        <v>0</v>
      </c>
      <c r="BJ8" s="114"/>
      <c r="BK8" s="114"/>
      <c r="BL8" s="114"/>
      <c r="BM8" s="115">
        <f t="shared" si="10"/>
        <v>0</v>
      </c>
      <c r="BN8" s="114"/>
      <c r="BO8" s="114"/>
      <c r="BP8" s="114"/>
      <c r="BQ8" s="115">
        <f t="shared" si="11"/>
        <v>0</v>
      </c>
      <c r="BR8" s="114"/>
      <c r="BS8" s="114"/>
      <c r="BT8" s="114"/>
      <c r="BU8" s="115">
        <f t="shared" si="12"/>
        <v>0</v>
      </c>
      <c r="BV8" s="114"/>
      <c r="BW8" s="114"/>
      <c r="BX8" s="114"/>
      <c r="BY8" s="115">
        <f t="shared" si="13"/>
        <v>0</v>
      </c>
      <c r="BZ8" s="114"/>
      <c r="CA8" s="114"/>
      <c r="CB8" s="114"/>
      <c r="CC8" s="115">
        <f t="shared" si="14"/>
        <v>0</v>
      </c>
      <c r="CD8" s="5"/>
      <c r="CE8" s="114"/>
      <c r="CF8" s="114"/>
      <c r="CG8" s="115">
        <f t="shared" si="15"/>
        <v>0</v>
      </c>
      <c r="CI8" s="114"/>
      <c r="CJ8" s="114"/>
      <c r="CK8" s="115">
        <f t="shared" si="16"/>
        <v>0</v>
      </c>
      <c r="CM8" s="114"/>
      <c r="CN8" s="114"/>
      <c r="CO8" s="115">
        <f t="shared" si="17"/>
        <v>0</v>
      </c>
      <c r="CP8" s="114"/>
      <c r="CQ8" s="114"/>
      <c r="CR8" s="114"/>
      <c r="CS8" s="115">
        <f t="shared" si="18"/>
        <v>0</v>
      </c>
      <c r="CT8" s="114"/>
      <c r="CU8" s="114"/>
      <c r="CV8" s="114"/>
      <c r="CW8" s="115">
        <f t="shared" si="19"/>
        <v>0</v>
      </c>
      <c r="CX8" s="114"/>
      <c r="CY8" s="114"/>
      <c r="CZ8" s="114"/>
      <c r="DA8" s="115">
        <f t="shared" si="20"/>
        <v>0</v>
      </c>
      <c r="DB8" s="114"/>
      <c r="DC8" s="114"/>
      <c r="DD8" s="114"/>
      <c r="DE8" s="115">
        <f t="shared" si="21"/>
        <v>0</v>
      </c>
      <c r="DF8" s="5"/>
      <c r="DG8" s="114"/>
      <c r="DH8" s="114"/>
      <c r="DI8" s="115">
        <f t="shared" si="22"/>
        <v>0</v>
      </c>
      <c r="DK8" s="114"/>
      <c r="DL8" s="114"/>
      <c r="DM8" s="115">
        <f t="shared" si="23"/>
        <v>0</v>
      </c>
      <c r="DO8" s="107">
        <f t="shared" si="26"/>
        <v>0</v>
      </c>
      <c r="DP8"/>
      <c r="DQ8" s="129" t="str">
        <f t="shared" si="27"/>
        <v>-</v>
      </c>
      <c r="DR8"/>
      <c r="DS8" s="173" t="str">
        <f>IFERROR(RANK(DQ8,$DQ$6:$DQ$70)&amp;LOOKUP(RANK(DQ8,$DQ$6:$DQ$70),{1,2,3,4;"st","nd","rd","th"}),"-")</f>
        <v>-</v>
      </c>
      <c r="DT8" s="156">
        <f>'FIRST TERM'!DO8</f>
        <v>695</v>
      </c>
      <c r="DU8" s="157">
        <f>'SECOND TERM'!DO8</f>
        <v>536</v>
      </c>
      <c r="DV8" s="158">
        <f t="shared" si="28"/>
        <v>1231</v>
      </c>
      <c r="DW8" s="176" t="str">
        <f>RANK(DV8,$DV$6:$DV$70)&amp;LOOKUP(RANK(DV8,$DV$6:$DV$70),{1,2,3,4;"st","nd","rd","th"})</f>
        <v>3rd</v>
      </c>
    </row>
    <row r="9" spans="1:129">
      <c r="A9" s="75">
        <v>4</v>
      </c>
      <c r="B9" s="74" t="s">
        <v>112</v>
      </c>
      <c r="C9" s="33"/>
      <c r="D9" s="34"/>
      <c r="E9" s="35"/>
      <c r="F9"/>
      <c r="G9" s="34">
        <v>2</v>
      </c>
      <c r="H9" s="34"/>
      <c r="I9" s="34"/>
      <c r="J9" s="34"/>
      <c r="K9" s="5"/>
      <c r="L9" s="36"/>
      <c r="M9" s="36"/>
      <c r="N9" s="36"/>
      <c r="O9" s="36"/>
      <c r="P9" s="36"/>
      <c r="Q9" s="36"/>
      <c r="R9" s="5"/>
      <c r="S9" s="114"/>
      <c r="T9" s="114"/>
      <c r="U9" s="115">
        <f t="shared" si="24"/>
        <v>0</v>
      </c>
      <c r="V9" s="116"/>
      <c r="W9" s="114"/>
      <c r="X9" s="114"/>
      <c r="Y9" s="115">
        <f t="shared" si="1"/>
        <v>0</v>
      </c>
      <c r="Z9" s="116"/>
      <c r="AA9" s="114"/>
      <c r="AB9" s="114">
        <v>0</v>
      </c>
      <c r="AC9" s="115">
        <f t="shared" si="2"/>
        <v>0</v>
      </c>
      <c r="AD9" s="114"/>
      <c r="AE9" s="114"/>
      <c r="AF9" s="114"/>
      <c r="AG9" s="115">
        <f t="shared" si="3"/>
        <v>0</v>
      </c>
      <c r="AH9" s="116"/>
      <c r="AI9" s="114"/>
      <c r="AJ9" s="114"/>
      <c r="AK9" s="115">
        <f t="shared" si="4"/>
        <v>0</v>
      </c>
      <c r="AL9" s="116"/>
      <c r="AM9" s="114"/>
      <c r="AN9" s="114"/>
      <c r="AO9" s="115">
        <f t="shared" si="5"/>
        <v>0</v>
      </c>
      <c r="AP9" s="116"/>
      <c r="AQ9" s="114"/>
      <c r="AR9" s="114"/>
      <c r="AS9" s="115">
        <f t="shared" si="6"/>
        <v>0</v>
      </c>
      <c r="AT9" s="114"/>
      <c r="AU9" s="114"/>
      <c r="AV9" s="114"/>
      <c r="AW9" s="117">
        <f t="shared" si="25"/>
        <v>0</v>
      </c>
      <c r="AX9" s="114"/>
      <c r="AY9" s="114"/>
      <c r="AZ9" s="114"/>
      <c r="BA9" s="115">
        <f t="shared" si="7"/>
        <v>0</v>
      </c>
      <c r="BB9" s="116"/>
      <c r="BC9" s="114"/>
      <c r="BD9" s="114"/>
      <c r="BE9" s="115">
        <f t="shared" si="8"/>
        <v>0</v>
      </c>
      <c r="BF9" s="114"/>
      <c r="BG9" s="114"/>
      <c r="BH9" s="114"/>
      <c r="BI9" s="115">
        <f t="shared" si="9"/>
        <v>0</v>
      </c>
      <c r="BJ9" s="114"/>
      <c r="BK9" s="114"/>
      <c r="BL9" s="114"/>
      <c r="BM9" s="115">
        <f t="shared" si="10"/>
        <v>0</v>
      </c>
      <c r="BN9" s="114"/>
      <c r="BO9" s="114"/>
      <c r="BP9" s="114"/>
      <c r="BQ9" s="115">
        <f t="shared" si="11"/>
        <v>0</v>
      </c>
      <c r="BR9" s="114"/>
      <c r="BS9" s="114"/>
      <c r="BT9" s="114"/>
      <c r="BU9" s="115">
        <f t="shared" si="12"/>
        <v>0</v>
      </c>
      <c r="BV9" s="114"/>
      <c r="BW9" s="114"/>
      <c r="BX9" s="114"/>
      <c r="BY9" s="115">
        <f t="shared" si="13"/>
        <v>0</v>
      </c>
      <c r="BZ9" s="114"/>
      <c r="CA9" s="114"/>
      <c r="CB9" s="114"/>
      <c r="CC9" s="115">
        <f t="shared" si="14"/>
        <v>0</v>
      </c>
      <c r="CD9" s="5"/>
      <c r="CE9" s="114"/>
      <c r="CF9" s="114"/>
      <c r="CG9" s="115">
        <f t="shared" si="15"/>
        <v>0</v>
      </c>
      <c r="CI9" s="114"/>
      <c r="CJ9" s="114"/>
      <c r="CK9" s="115">
        <f t="shared" si="16"/>
        <v>0</v>
      </c>
      <c r="CM9" s="114"/>
      <c r="CN9" s="114"/>
      <c r="CO9" s="115">
        <f t="shared" si="17"/>
        <v>0</v>
      </c>
      <c r="CP9" s="114"/>
      <c r="CQ9" s="114"/>
      <c r="CR9" s="114"/>
      <c r="CS9" s="115">
        <f t="shared" si="18"/>
        <v>0</v>
      </c>
      <c r="CT9" s="114"/>
      <c r="CU9" s="114"/>
      <c r="CV9" s="114"/>
      <c r="CW9" s="115">
        <f t="shared" si="19"/>
        <v>0</v>
      </c>
      <c r="CX9" s="114"/>
      <c r="CY9" s="114"/>
      <c r="CZ9" s="114"/>
      <c r="DA9" s="115">
        <f t="shared" si="20"/>
        <v>0</v>
      </c>
      <c r="DB9" s="114"/>
      <c r="DC9" s="114"/>
      <c r="DD9" s="114"/>
      <c r="DE9" s="115">
        <f t="shared" si="21"/>
        <v>0</v>
      </c>
      <c r="DF9" s="5"/>
      <c r="DG9" s="114"/>
      <c r="DH9" s="114"/>
      <c r="DI9" s="115">
        <f t="shared" si="22"/>
        <v>0</v>
      </c>
      <c r="DK9" s="114"/>
      <c r="DL9" s="114"/>
      <c r="DM9" s="115">
        <f t="shared" si="23"/>
        <v>0</v>
      </c>
      <c r="DO9" s="107">
        <f t="shared" si="26"/>
        <v>0</v>
      </c>
      <c r="DP9"/>
      <c r="DQ9" s="129" t="str">
        <f t="shared" si="27"/>
        <v>-</v>
      </c>
      <c r="DR9"/>
      <c r="DS9" s="173" t="str">
        <f>IFERROR(RANK(DQ9,$DQ$6:$DQ$70)&amp;LOOKUP(RANK(DQ9,$DQ$6:$DQ$70),{1,2,3,4;"st","nd","rd","th"}),"-")</f>
        <v>-</v>
      </c>
      <c r="DT9" s="161">
        <f>'FIRST TERM'!DO9</f>
        <v>664</v>
      </c>
      <c r="DU9" s="162">
        <f>'SECOND TERM'!DO9</f>
        <v>568</v>
      </c>
      <c r="DV9" s="158">
        <f t="shared" si="28"/>
        <v>1232</v>
      </c>
      <c r="DW9" s="177" t="str">
        <f>RANK(DV9,$DV$6:$DV$70)&amp;LOOKUP(RANK(DV9,$DV$6:$DV$70),{1,2,3,4;"st","nd","rd","th"})</f>
        <v>2nd</v>
      </c>
    </row>
    <row r="10" spans="1:129">
      <c r="A10" s="75">
        <v>5</v>
      </c>
      <c r="B10" s="74" t="s">
        <v>113</v>
      </c>
      <c r="C10" s="33"/>
      <c r="D10" s="34"/>
      <c r="E10" s="35"/>
      <c r="F10"/>
      <c r="G10" s="34"/>
      <c r="H10" s="34"/>
      <c r="I10" s="34"/>
      <c r="J10" s="34"/>
      <c r="K10" s="5"/>
      <c r="L10" s="36"/>
      <c r="M10" s="36"/>
      <c r="N10" s="36"/>
      <c r="O10" s="36"/>
      <c r="P10" s="36"/>
      <c r="Q10" s="36"/>
      <c r="R10" s="5"/>
      <c r="S10" s="114"/>
      <c r="T10" s="114"/>
      <c r="U10" s="115">
        <f t="shared" si="24"/>
        <v>0</v>
      </c>
      <c r="V10" s="116"/>
      <c r="W10" s="114"/>
      <c r="X10" s="114"/>
      <c r="Y10" s="115">
        <f t="shared" si="1"/>
        <v>0</v>
      </c>
      <c r="Z10" s="116"/>
      <c r="AA10" s="114"/>
      <c r="AB10" s="114"/>
      <c r="AC10" s="115">
        <f t="shared" si="2"/>
        <v>0</v>
      </c>
      <c r="AD10" s="114"/>
      <c r="AE10" s="114"/>
      <c r="AF10" s="114"/>
      <c r="AG10" s="115">
        <f t="shared" si="3"/>
        <v>0</v>
      </c>
      <c r="AH10" s="116"/>
      <c r="AI10" s="114"/>
      <c r="AJ10" s="114"/>
      <c r="AK10" s="115">
        <f t="shared" si="4"/>
        <v>0</v>
      </c>
      <c r="AL10" s="116"/>
      <c r="AM10" s="114"/>
      <c r="AN10" s="114"/>
      <c r="AO10" s="115">
        <f t="shared" si="5"/>
        <v>0</v>
      </c>
      <c r="AP10" s="116"/>
      <c r="AQ10" s="114"/>
      <c r="AR10" s="114"/>
      <c r="AS10" s="115">
        <f t="shared" si="6"/>
        <v>0</v>
      </c>
      <c r="AT10" s="114"/>
      <c r="AU10" s="114"/>
      <c r="AV10" s="114"/>
      <c r="AW10" s="117">
        <f t="shared" si="25"/>
        <v>0</v>
      </c>
      <c r="AX10" s="114"/>
      <c r="AY10" s="114"/>
      <c r="AZ10" s="114"/>
      <c r="BA10" s="115">
        <f t="shared" si="7"/>
        <v>0</v>
      </c>
      <c r="BB10" s="116"/>
      <c r="BC10" s="114"/>
      <c r="BD10" s="114"/>
      <c r="BE10" s="115">
        <f t="shared" si="8"/>
        <v>0</v>
      </c>
      <c r="BF10" s="114"/>
      <c r="BG10" s="114"/>
      <c r="BH10" s="114"/>
      <c r="BI10" s="115">
        <f t="shared" si="9"/>
        <v>0</v>
      </c>
      <c r="BJ10" s="114"/>
      <c r="BK10" s="114"/>
      <c r="BL10" s="114"/>
      <c r="BM10" s="115">
        <f t="shared" si="10"/>
        <v>0</v>
      </c>
      <c r="BN10" s="114"/>
      <c r="BO10" s="114"/>
      <c r="BP10" s="114"/>
      <c r="BQ10" s="115">
        <f t="shared" si="11"/>
        <v>0</v>
      </c>
      <c r="BR10" s="114"/>
      <c r="BS10" s="114"/>
      <c r="BT10" s="114"/>
      <c r="BU10" s="115">
        <f t="shared" si="12"/>
        <v>0</v>
      </c>
      <c r="BV10" s="114"/>
      <c r="BW10" s="114"/>
      <c r="BX10" s="114"/>
      <c r="BY10" s="115">
        <f t="shared" si="13"/>
        <v>0</v>
      </c>
      <c r="BZ10" s="114"/>
      <c r="CA10" s="114"/>
      <c r="CB10" s="114"/>
      <c r="CC10" s="115">
        <f t="shared" si="14"/>
        <v>0</v>
      </c>
      <c r="CD10" s="5"/>
      <c r="CE10" s="114"/>
      <c r="CF10" s="114"/>
      <c r="CG10" s="115">
        <f t="shared" si="15"/>
        <v>0</v>
      </c>
      <c r="CI10" s="114"/>
      <c r="CJ10" s="114"/>
      <c r="CK10" s="115">
        <f t="shared" si="16"/>
        <v>0</v>
      </c>
      <c r="CM10" s="114"/>
      <c r="CN10" s="114"/>
      <c r="CO10" s="115">
        <f t="shared" si="17"/>
        <v>0</v>
      </c>
      <c r="CP10" s="114"/>
      <c r="CQ10" s="114"/>
      <c r="CR10" s="114"/>
      <c r="CS10" s="115">
        <f t="shared" si="18"/>
        <v>0</v>
      </c>
      <c r="CT10" s="114"/>
      <c r="CU10" s="114"/>
      <c r="CV10" s="114"/>
      <c r="CW10" s="115">
        <f t="shared" si="19"/>
        <v>0</v>
      </c>
      <c r="CX10" s="114"/>
      <c r="CY10" s="114"/>
      <c r="CZ10" s="114"/>
      <c r="DA10" s="115">
        <f t="shared" si="20"/>
        <v>0</v>
      </c>
      <c r="DB10" s="114"/>
      <c r="DC10" s="114"/>
      <c r="DD10" s="114"/>
      <c r="DE10" s="115">
        <f t="shared" si="21"/>
        <v>0</v>
      </c>
      <c r="DF10" s="5"/>
      <c r="DG10" s="114"/>
      <c r="DH10" s="114"/>
      <c r="DI10" s="115">
        <f t="shared" si="22"/>
        <v>0</v>
      </c>
      <c r="DK10" s="114"/>
      <c r="DL10" s="114"/>
      <c r="DM10" s="115">
        <f t="shared" si="23"/>
        <v>0</v>
      </c>
      <c r="DO10" s="107">
        <f t="shared" si="26"/>
        <v>0</v>
      </c>
      <c r="DP10"/>
      <c r="DQ10" s="129" t="str">
        <f t="shared" si="27"/>
        <v>-</v>
      </c>
      <c r="DR10"/>
      <c r="DS10" s="173" t="str">
        <f>IFERROR(RANK(DQ10,$DQ$6:$DQ$70)&amp;LOOKUP(RANK(DQ10,$DQ$6:$DQ$70),{1,2,3,4;"st","nd","rd","th"}),"-")</f>
        <v>-</v>
      </c>
      <c r="DT10" s="163">
        <f>'FIRST TERM'!DO10</f>
        <v>725</v>
      </c>
      <c r="DU10" s="164">
        <f>'SECOND TERM'!DO10</f>
        <v>637</v>
      </c>
      <c r="DV10" s="158">
        <f t="shared" si="28"/>
        <v>1362</v>
      </c>
      <c r="DW10" s="177" t="str">
        <f>RANK(DV10,$DV$6:$DV$70)&amp;LOOKUP(RANK(DV10,$DV$6:$DV$70),{1,2,3,4;"st","nd","rd","th"})</f>
        <v>1st</v>
      </c>
    </row>
    <row r="11" spans="1:129">
      <c r="A11" s="75">
        <v>6</v>
      </c>
      <c r="B11" s="74" t="s">
        <v>114</v>
      </c>
      <c r="C11" s="33"/>
      <c r="D11" s="34"/>
      <c r="E11" s="35"/>
      <c r="F11"/>
      <c r="G11" s="34"/>
      <c r="H11" s="34"/>
      <c r="I11" s="34"/>
      <c r="J11" s="34"/>
      <c r="K11" s="5"/>
      <c r="L11" s="36"/>
      <c r="M11" s="36"/>
      <c r="N11" s="36"/>
      <c r="O11" s="36"/>
      <c r="P11" s="36"/>
      <c r="Q11" s="36"/>
      <c r="R11" s="5"/>
      <c r="S11" s="114"/>
      <c r="T11" s="114"/>
      <c r="U11" s="115">
        <f t="shared" si="24"/>
        <v>0</v>
      </c>
      <c r="V11" s="116"/>
      <c r="W11" s="114"/>
      <c r="X11" s="114"/>
      <c r="Y11" s="115">
        <f t="shared" si="1"/>
        <v>0</v>
      </c>
      <c r="Z11" s="116"/>
      <c r="AA11" s="114"/>
      <c r="AB11" s="114"/>
      <c r="AC11" s="115">
        <f t="shared" si="2"/>
        <v>0</v>
      </c>
      <c r="AD11" s="114"/>
      <c r="AE11" s="114"/>
      <c r="AF11" s="114"/>
      <c r="AG11" s="115">
        <f t="shared" si="3"/>
        <v>0</v>
      </c>
      <c r="AH11" s="116"/>
      <c r="AI11" s="114"/>
      <c r="AJ11" s="114"/>
      <c r="AK11" s="115">
        <f t="shared" si="4"/>
        <v>0</v>
      </c>
      <c r="AL11" s="116"/>
      <c r="AM11" s="114"/>
      <c r="AN11" s="114"/>
      <c r="AO11" s="115">
        <f t="shared" si="5"/>
        <v>0</v>
      </c>
      <c r="AP11" s="116"/>
      <c r="AQ11" s="114"/>
      <c r="AR11" s="114"/>
      <c r="AS11" s="115">
        <f t="shared" si="6"/>
        <v>0</v>
      </c>
      <c r="AT11" s="114"/>
      <c r="AU11" s="114"/>
      <c r="AV11" s="114"/>
      <c r="AW11" s="117">
        <f t="shared" si="25"/>
        <v>0</v>
      </c>
      <c r="AX11" s="114"/>
      <c r="AY11" s="114"/>
      <c r="AZ11" s="114"/>
      <c r="BA11" s="115">
        <f t="shared" si="7"/>
        <v>0</v>
      </c>
      <c r="BB11" s="116"/>
      <c r="BC11" s="114"/>
      <c r="BD11" s="114"/>
      <c r="BE11" s="115">
        <f t="shared" si="8"/>
        <v>0</v>
      </c>
      <c r="BF11" s="114"/>
      <c r="BG11" s="114"/>
      <c r="BH11" s="114"/>
      <c r="BI11" s="115">
        <f t="shared" si="9"/>
        <v>0</v>
      </c>
      <c r="BJ11" s="114"/>
      <c r="BK11" s="114"/>
      <c r="BL11" s="114"/>
      <c r="BM11" s="115">
        <f t="shared" si="10"/>
        <v>0</v>
      </c>
      <c r="BN11" s="114"/>
      <c r="BO11" s="114"/>
      <c r="BP11" s="114"/>
      <c r="BQ11" s="115">
        <f t="shared" si="11"/>
        <v>0</v>
      </c>
      <c r="BR11" s="114"/>
      <c r="BS11" s="114"/>
      <c r="BT11" s="114"/>
      <c r="BU11" s="115">
        <f t="shared" si="12"/>
        <v>0</v>
      </c>
      <c r="BV11" s="114"/>
      <c r="BW11" s="114"/>
      <c r="BX11" s="114"/>
      <c r="BY11" s="115">
        <f t="shared" si="13"/>
        <v>0</v>
      </c>
      <c r="BZ11" s="114"/>
      <c r="CA11" s="114"/>
      <c r="CB11" s="114"/>
      <c r="CC11" s="115">
        <f t="shared" si="14"/>
        <v>0</v>
      </c>
      <c r="CD11" s="5"/>
      <c r="CE11" s="114"/>
      <c r="CF11" s="114"/>
      <c r="CG11" s="115">
        <f t="shared" si="15"/>
        <v>0</v>
      </c>
      <c r="CI11" s="114"/>
      <c r="CJ11" s="114"/>
      <c r="CK11" s="115">
        <f t="shared" si="16"/>
        <v>0</v>
      </c>
      <c r="CM11" s="114"/>
      <c r="CN11" s="114"/>
      <c r="CO11" s="115">
        <f t="shared" si="17"/>
        <v>0</v>
      </c>
      <c r="CP11" s="114"/>
      <c r="CQ11" s="114"/>
      <c r="CR11" s="114"/>
      <c r="CS11" s="115">
        <f t="shared" si="18"/>
        <v>0</v>
      </c>
      <c r="CT11" s="114"/>
      <c r="CU11" s="114"/>
      <c r="CV11" s="114"/>
      <c r="CW11" s="115">
        <f t="shared" si="19"/>
        <v>0</v>
      </c>
      <c r="CX11" s="114"/>
      <c r="CY11" s="114"/>
      <c r="CZ11" s="114"/>
      <c r="DA11" s="115">
        <f t="shared" si="20"/>
        <v>0</v>
      </c>
      <c r="DB11" s="114"/>
      <c r="DC11" s="114"/>
      <c r="DD11" s="114"/>
      <c r="DE11" s="115">
        <f t="shared" si="21"/>
        <v>0</v>
      </c>
      <c r="DF11" s="5"/>
      <c r="DG11" s="114"/>
      <c r="DH11" s="114"/>
      <c r="DI11" s="115">
        <f t="shared" si="22"/>
        <v>0</v>
      </c>
      <c r="DK11" s="114"/>
      <c r="DL11" s="114"/>
      <c r="DM11" s="115">
        <f t="shared" si="23"/>
        <v>0</v>
      </c>
      <c r="DO11" s="107">
        <f t="shared" si="26"/>
        <v>0</v>
      </c>
      <c r="DP11"/>
      <c r="DQ11" s="129" t="str">
        <f t="shared" si="27"/>
        <v>-</v>
      </c>
      <c r="DR11"/>
      <c r="DS11" s="173" t="str">
        <f>IFERROR(RANK(DQ11,$DQ$6:$DQ$70)&amp;LOOKUP(RANK(DQ11,$DQ$6:$DQ$70),{1,2,3,4;"st","nd","rd","th"}),"-")</f>
        <v>-</v>
      </c>
      <c r="DT11" s="165">
        <f>'FIRST TERM'!DO11</f>
        <v>586</v>
      </c>
      <c r="DU11" s="166">
        <f>'SECOND TERM'!DO11</f>
        <v>292</v>
      </c>
      <c r="DV11" s="158">
        <f t="shared" si="28"/>
        <v>878</v>
      </c>
      <c r="DW11" s="177" t="str">
        <f>RANK(DV11,$DV$6:$DV$70)&amp;LOOKUP(RANK(DV11,$DV$6:$DV$70),{1,2,3,4;"st","nd","rd","th"})</f>
        <v>6th</v>
      </c>
    </row>
    <row r="12" spans="1:129">
      <c r="A12" s="75">
        <v>7</v>
      </c>
      <c r="B12" s="74" t="s">
        <v>115</v>
      </c>
      <c r="C12" s="33"/>
      <c r="D12" s="34"/>
      <c r="E12" s="35"/>
      <c r="F12"/>
      <c r="G12" s="34"/>
      <c r="H12" s="34"/>
      <c r="I12" s="34"/>
      <c r="J12" s="34"/>
      <c r="K12" s="5"/>
      <c r="L12" s="36"/>
      <c r="M12" s="36"/>
      <c r="N12" s="36"/>
      <c r="O12" s="36"/>
      <c r="P12" s="36"/>
      <c r="Q12" s="36"/>
      <c r="R12" s="5"/>
      <c r="S12" s="114"/>
      <c r="T12" s="114"/>
      <c r="U12" s="115">
        <f t="shared" si="24"/>
        <v>0</v>
      </c>
      <c r="V12" s="116"/>
      <c r="W12" s="114"/>
      <c r="X12" s="114"/>
      <c r="Y12" s="115">
        <f t="shared" si="1"/>
        <v>0</v>
      </c>
      <c r="Z12" s="116"/>
      <c r="AA12" s="114"/>
      <c r="AB12" s="114"/>
      <c r="AC12" s="115">
        <f t="shared" si="2"/>
        <v>0</v>
      </c>
      <c r="AD12" s="114"/>
      <c r="AE12" s="114"/>
      <c r="AF12" s="114"/>
      <c r="AG12" s="115">
        <f t="shared" si="3"/>
        <v>0</v>
      </c>
      <c r="AH12" s="116"/>
      <c r="AI12" s="114"/>
      <c r="AJ12" s="114"/>
      <c r="AK12" s="115">
        <f t="shared" si="4"/>
        <v>0</v>
      </c>
      <c r="AL12" s="116"/>
      <c r="AM12" s="114"/>
      <c r="AN12" s="114"/>
      <c r="AO12" s="115">
        <f t="shared" si="5"/>
        <v>0</v>
      </c>
      <c r="AP12" s="116"/>
      <c r="AQ12" s="114"/>
      <c r="AR12" s="114"/>
      <c r="AS12" s="115">
        <f t="shared" si="6"/>
        <v>0</v>
      </c>
      <c r="AT12" s="114"/>
      <c r="AU12" s="114"/>
      <c r="AV12" s="114"/>
      <c r="AW12" s="117">
        <f t="shared" si="25"/>
        <v>0</v>
      </c>
      <c r="AX12" s="114"/>
      <c r="AY12" s="114"/>
      <c r="AZ12" s="114"/>
      <c r="BA12" s="115">
        <f t="shared" si="7"/>
        <v>0</v>
      </c>
      <c r="BB12" s="116"/>
      <c r="BC12" s="114"/>
      <c r="BD12" s="114"/>
      <c r="BE12" s="115">
        <f t="shared" si="8"/>
        <v>0</v>
      </c>
      <c r="BF12" s="114"/>
      <c r="BG12" s="114"/>
      <c r="BH12" s="114"/>
      <c r="BI12" s="115">
        <f t="shared" si="9"/>
        <v>0</v>
      </c>
      <c r="BJ12" s="114"/>
      <c r="BK12" s="114"/>
      <c r="BL12" s="114"/>
      <c r="BM12" s="115">
        <f t="shared" si="10"/>
        <v>0</v>
      </c>
      <c r="BN12" s="114"/>
      <c r="BO12" s="114"/>
      <c r="BP12" s="114"/>
      <c r="BQ12" s="115">
        <f t="shared" si="11"/>
        <v>0</v>
      </c>
      <c r="BR12" s="114"/>
      <c r="BS12" s="114"/>
      <c r="BT12" s="114"/>
      <c r="BU12" s="115">
        <f t="shared" si="12"/>
        <v>0</v>
      </c>
      <c r="BV12" s="114"/>
      <c r="BW12" s="114"/>
      <c r="BX12" s="114"/>
      <c r="BY12" s="115">
        <f t="shared" si="13"/>
        <v>0</v>
      </c>
      <c r="BZ12" s="114"/>
      <c r="CA12" s="114"/>
      <c r="CB12" s="114"/>
      <c r="CC12" s="115">
        <f t="shared" si="14"/>
        <v>0</v>
      </c>
      <c r="CD12" s="5"/>
      <c r="CE12" s="114"/>
      <c r="CF12" s="114"/>
      <c r="CG12" s="115">
        <f t="shared" si="15"/>
        <v>0</v>
      </c>
      <c r="CI12" s="114"/>
      <c r="CJ12" s="114"/>
      <c r="CK12" s="115">
        <f t="shared" si="16"/>
        <v>0</v>
      </c>
      <c r="CM12" s="114"/>
      <c r="CN12" s="114"/>
      <c r="CO12" s="115">
        <f t="shared" si="17"/>
        <v>0</v>
      </c>
      <c r="CP12" s="114"/>
      <c r="CQ12" s="114"/>
      <c r="CR12" s="114"/>
      <c r="CS12" s="115">
        <f t="shared" si="18"/>
        <v>0</v>
      </c>
      <c r="CT12" s="114"/>
      <c r="CU12" s="114"/>
      <c r="CV12" s="114"/>
      <c r="CW12" s="115">
        <f t="shared" si="19"/>
        <v>0</v>
      </c>
      <c r="CX12" s="114"/>
      <c r="CY12" s="114"/>
      <c r="CZ12" s="114"/>
      <c r="DA12" s="115">
        <f t="shared" si="20"/>
        <v>0</v>
      </c>
      <c r="DB12" s="114"/>
      <c r="DC12" s="114"/>
      <c r="DD12" s="114"/>
      <c r="DE12" s="115">
        <f t="shared" si="21"/>
        <v>0</v>
      </c>
      <c r="DF12" s="5"/>
      <c r="DG12" s="114"/>
      <c r="DH12" s="114"/>
      <c r="DI12" s="115">
        <f t="shared" si="22"/>
        <v>0</v>
      </c>
      <c r="DK12" s="114"/>
      <c r="DL12" s="114"/>
      <c r="DM12" s="115">
        <f t="shared" si="23"/>
        <v>0</v>
      </c>
      <c r="DO12" s="107">
        <f t="shared" si="26"/>
        <v>0</v>
      </c>
      <c r="DP12"/>
      <c r="DQ12" s="129" t="str">
        <f t="shared" si="27"/>
        <v>-</v>
      </c>
      <c r="DR12"/>
      <c r="DS12" s="173" t="str">
        <f>IFERROR(RANK(DQ12,$DQ$6:$DQ$70)&amp;LOOKUP(RANK(DQ12,$DQ$6:$DQ$70),{1,2,3,4;"st","nd","rd","th"}),"-")</f>
        <v>-</v>
      </c>
      <c r="DT12" s="167">
        <f>'FIRST TERM'!DO12</f>
        <v>544</v>
      </c>
      <c r="DU12" s="168">
        <f>'SECOND TERM'!DO12</f>
        <v>0</v>
      </c>
      <c r="DV12" s="158">
        <f t="shared" si="28"/>
        <v>544</v>
      </c>
      <c r="DW12" s="177" t="str">
        <f>RANK(DV12,$DV$6:$DV$70)&amp;LOOKUP(RANK(DV12,$DV$6:$DV$70),{1,2,3,4;"st","nd","rd","th"})</f>
        <v>7th</v>
      </c>
    </row>
    <row r="13" spans="1:129">
      <c r="A13" s="75">
        <v>8</v>
      </c>
      <c r="B13" s="74" t="s">
        <v>116</v>
      </c>
      <c r="C13" s="33"/>
      <c r="D13" s="34"/>
      <c r="E13" s="35"/>
      <c r="F13"/>
      <c r="G13" s="34"/>
      <c r="H13" s="34"/>
      <c r="I13" s="34"/>
      <c r="J13" s="34"/>
      <c r="K13" s="5"/>
      <c r="L13" s="36"/>
      <c r="M13" s="36"/>
      <c r="N13" s="36"/>
      <c r="O13" s="36"/>
      <c r="P13" s="36"/>
      <c r="Q13" s="36"/>
      <c r="R13" s="5"/>
      <c r="S13" s="114"/>
      <c r="T13" s="114"/>
      <c r="U13" s="115">
        <f t="shared" si="24"/>
        <v>0</v>
      </c>
      <c r="V13" s="116"/>
      <c r="W13" s="114"/>
      <c r="X13" s="114"/>
      <c r="Y13" s="115">
        <f t="shared" si="1"/>
        <v>0</v>
      </c>
      <c r="Z13" s="116"/>
      <c r="AA13" s="114"/>
      <c r="AB13" s="114"/>
      <c r="AC13" s="115">
        <f t="shared" si="2"/>
        <v>0</v>
      </c>
      <c r="AD13" s="114"/>
      <c r="AE13" s="114"/>
      <c r="AF13" s="114"/>
      <c r="AG13" s="115">
        <f t="shared" si="3"/>
        <v>0</v>
      </c>
      <c r="AH13" s="116"/>
      <c r="AI13" s="114"/>
      <c r="AJ13" s="114"/>
      <c r="AK13" s="115">
        <f t="shared" si="4"/>
        <v>0</v>
      </c>
      <c r="AL13" s="116"/>
      <c r="AM13" s="114"/>
      <c r="AN13" s="114"/>
      <c r="AO13" s="115">
        <f t="shared" si="5"/>
        <v>0</v>
      </c>
      <c r="AP13" s="116"/>
      <c r="AQ13" s="114"/>
      <c r="AR13" s="114"/>
      <c r="AS13" s="115">
        <f t="shared" si="6"/>
        <v>0</v>
      </c>
      <c r="AT13" s="114"/>
      <c r="AU13" s="114"/>
      <c r="AV13" s="114"/>
      <c r="AW13" s="117">
        <f t="shared" si="25"/>
        <v>0</v>
      </c>
      <c r="AX13" s="114"/>
      <c r="AY13" s="114"/>
      <c r="AZ13" s="114"/>
      <c r="BA13" s="115">
        <f t="shared" si="7"/>
        <v>0</v>
      </c>
      <c r="BB13" s="116"/>
      <c r="BC13" s="114"/>
      <c r="BD13" s="114"/>
      <c r="BE13" s="115">
        <f t="shared" si="8"/>
        <v>0</v>
      </c>
      <c r="BF13" s="114"/>
      <c r="BG13" s="114"/>
      <c r="BH13" s="114"/>
      <c r="BI13" s="115">
        <f t="shared" si="9"/>
        <v>0</v>
      </c>
      <c r="BJ13" s="114"/>
      <c r="BK13" s="114"/>
      <c r="BL13" s="114"/>
      <c r="BM13" s="115">
        <f t="shared" si="10"/>
        <v>0</v>
      </c>
      <c r="BN13" s="114"/>
      <c r="BO13" s="114"/>
      <c r="BP13" s="114"/>
      <c r="BQ13" s="115">
        <f t="shared" si="11"/>
        <v>0</v>
      </c>
      <c r="BR13" s="114"/>
      <c r="BS13" s="114"/>
      <c r="BT13" s="114"/>
      <c r="BU13" s="115">
        <f t="shared" si="12"/>
        <v>0</v>
      </c>
      <c r="BV13" s="114"/>
      <c r="BW13" s="114"/>
      <c r="BX13" s="114"/>
      <c r="BY13" s="115">
        <f t="shared" si="13"/>
        <v>0</v>
      </c>
      <c r="BZ13" s="114"/>
      <c r="CA13" s="114"/>
      <c r="CB13" s="114"/>
      <c r="CC13" s="115">
        <f t="shared" si="14"/>
        <v>0</v>
      </c>
      <c r="CD13" s="5"/>
      <c r="CE13" s="114"/>
      <c r="CF13" s="114"/>
      <c r="CG13" s="115">
        <f t="shared" si="15"/>
        <v>0</v>
      </c>
      <c r="CI13" s="114"/>
      <c r="CJ13" s="114"/>
      <c r="CK13" s="115">
        <f t="shared" si="16"/>
        <v>0</v>
      </c>
      <c r="CM13" s="114"/>
      <c r="CN13" s="114"/>
      <c r="CO13" s="115">
        <f t="shared" si="17"/>
        <v>0</v>
      </c>
      <c r="CP13" s="114"/>
      <c r="CQ13" s="114"/>
      <c r="CR13" s="114"/>
      <c r="CS13" s="115">
        <f t="shared" si="18"/>
        <v>0</v>
      </c>
      <c r="CT13" s="114"/>
      <c r="CU13" s="114"/>
      <c r="CV13" s="114"/>
      <c r="CW13" s="115">
        <f t="shared" si="19"/>
        <v>0</v>
      </c>
      <c r="CX13" s="114"/>
      <c r="CY13" s="114"/>
      <c r="CZ13" s="114"/>
      <c r="DA13" s="115">
        <f t="shared" si="20"/>
        <v>0</v>
      </c>
      <c r="DB13" s="114"/>
      <c r="DC13" s="114"/>
      <c r="DD13" s="114"/>
      <c r="DE13" s="115">
        <f t="shared" si="21"/>
        <v>0</v>
      </c>
      <c r="DF13" s="5"/>
      <c r="DG13" s="114"/>
      <c r="DH13" s="114"/>
      <c r="DI13" s="115">
        <f t="shared" si="22"/>
        <v>0</v>
      </c>
      <c r="DK13" s="114"/>
      <c r="DL13" s="114"/>
      <c r="DM13" s="115">
        <f t="shared" si="23"/>
        <v>0</v>
      </c>
      <c r="DO13" s="107">
        <f t="shared" si="26"/>
        <v>0</v>
      </c>
      <c r="DP13"/>
      <c r="DQ13" s="129" t="str">
        <f t="shared" si="27"/>
        <v>-</v>
      </c>
      <c r="DR13"/>
      <c r="DS13" s="173" t="str">
        <f>IFERROR(RANK(DQ13,$DQ$6:$DQ$70)&amp;LOOKUP(RANK(DQ13,$DQ$6:$DQ$70),{1,2,3,4;"st","nd","rd","th"}),"-")</f>
        <v>-</v>
      </c>
      <c r="DT13" s="167">
        <f>'FIRST TERM'!DO13</f>
        <v>0</v>
      </c>
      <c r="DU13" s="168">
        <f>'SECOND TERM'!DO13</f>
        <v>336</v>
      </c>
      <c r="DV13" s="158">
        <f t="shared" si="28"/>
        <v>336</v>
      </c>
      <c r="DW13" s="177" t="str">
        <f>RANK(DV13,$DV$6:$DV$70)&amp;LOOKUP(RANK(DV13,$DV$6:$DV$70),{1,2,3,4;"st","nd","rd","th"})</f>
        <v>9th</v>
      </c>
    </row>
    <row r="14" spans="1:129">
      <c r="A14" s="75">
        <v>9</v>
      </c>
      <c r="B14" s="74" t="s">
        <v>117</v>
      </c>
      <c r="C14" s="33"/>
      <c r="D14" s="34"/>
      <c r="E14" s="35"/>
      <c r="F14"/>
      <c r="G14" s="34"/>
      <c r="H14" s="34"/>
      <c r="I14" s="34"/>
      <c r="J14" s="34"/>
      <c r="K14" s="5"/>
      <c r="L14" s="36"/>
      <c r="M14" s="36"/>
      <c r="N14" s="36"/>
      <c r="O14" s="36"/>
      <c r="P14" s="36"/>
      <c r="Q14" s="36"/>
      <c r="R14" s="5"/>
      <c r="S14" s="114"/>
      <c r="T14" s="114"/>
      <c r="U14" s="115">
        <f t="shared" si="24"/>
        <v>0</v>
      </c>
      <c r="V14" s="116"/>
      <c r="W14" s="114"/>
      <c r="X14" s="114"/>
      <c r="Y14" s="115">
        <f t="shared" si="1"/>
        <v>0</v>
      </c>
      <c r="Z14" s="116"/>
      <c r="AA14" s="114"/>
      <c r="AB14" s="114"/>
      <c r="AC14" s="115">
        <f t="shared" si="2"/>
        <v>0</v>
      </c>
      <c r="AD14" s="114"/>
      <c r="AE14" s="114"/>
      <c r="AF14" s="114"/>
      <c r="AG14" s="115">
        <f t="shared" si="3"/>
        <v>0</v>
      </c>
      <c r="AH14" s="116"/>
      <c r="AI14" s="114"/>
      <c r="AJ14" s="114"/>
      <c r="AK14" s="115">
        <f t="shared" si="4"/>
        <v>0</v>
      </c>
      <c r="AL14" s="116"/>
      <c r="AM14" s="114"/>
      <c r="AN14" s="114"/>
      <c r="AO14" s="115">
        <f t="shared" si="5"/>
        <v>0</v>
      </c>
      <c r="AP14" s="116"/>
      <c r="AQ14" s="114"/>
      <c r="AR14" s="114"/>
      <c r="AS14" s="115">
        <f t="shared" si="6"/>
        <v>0</v>
      </c>
      <c r="AT14" s="114"/>
      <c r="AU14" s="114"/>
      <c r="AV14" s="114"/>
      <c r="AW14" s="117">
        <f t="shared" si="25"/>
        <v>0</v>
      </c>
      <c r="AX14" s="114"/>
      <c r="AY14" s="114"/>
      <c r="AZ14" s="114"/>
      <c r="BA14" s="115">
        <f t="shared" si="7"/>
        <v>0</v>
      </c>
      <c r="BB14" s="116"/>
      <c r="BC14" s="114"/>
      <c r="BD14" s="114"/>
      <c r="BE14" s="115">
        <f t="shared" si="8"/>
        <v>0</v>
      </c>
      <c r="BF14" s="114"/>
      <c r="BG14" s="114"/>
      <c r="BH14" s="114"/>
      <c r="BI14" s="115">
        <f t="shared" si="9"/>
        <v>0</v>
      </c>
      <c r="BJ14" s="114"/>
      <c r="BK14" s="114"/>
      <c r="BL14" s="114"/>
      <c r="BM14" s="115">
        <f t="shared" si="10"/>
        <v>0</v>
      </c>
      <c r="BN14" s="114"/>
      <c r="BO14" s="114"/>
      <c r="BP14" s="114"/>
      <c r="BQ14" s="115">
        <f t="shared" si="11"/>
        <v>0</v>
      </c>
      <c r="BR14" s="114"/>
      <c r="BS14" s="114"/>
      <c r="BT14" s="114"/>
      <c r="BU14" s="115">
        <f t="shared" si="12"/>
        <v>0</v>
      </c>
      <c r="BV14" s="114"/>
      <c r="BW14" s="114"/>
      <c r="BX14" s="114"/>
      <c r="BY14" s="115">
        <f t="shared" si="13"/>
        <v>0</v>
      </c>
      <c r="BZ14" s="114"/>
      <c r="CA14" s="114"/>
      <c r="CB14" s="114"/>
      <c r="CC14" s="115">
        <f t="shared" si="14"/>
        <v>0</v>
      </c>
      <c r="CD14" s="5"/>
      <c r="CE14" s="114"/>
      <c r="CF14" s="114"/>
      <c r="CG14" s="115">
        <f t="shared" si="15"/>
        <v>0</v>
      </c>
      <c r="CI14" s="114"/>
      <c r="CJ14" s="114"/>
      <c r="CK14" s="115">
        <f t="shared" si="16"/>
        <v>0</v>
      </c>
      <c r="CM14" s="114"/>
      <c r="CN14" s="114"/>
      <c r="CO14" s="115">
        <f t="shared" si="17"/>
        <v>0</v>
      </c>
      <c r="CP14" s="114"/>
      <c r="CQ14" s="114"/>
      <c r="CR14" s="114"/>
      <c r="CS14" s="115">
        <f t="shared" si="18"/>
        <v>0</v>
      </c>
      <c r="CT14" s="114"/>
      <c r="CU14" s="114"/>
      <c r="CV14" s="114"/>
      <c r="CW14" s="115">
        <f t="shared" si="19"/>
        <v>0</v>
      </c>
      <c r="CX14" s="114"/>
      <c r="CY14" s="114"/>
      <c r="CZ14" s="114"/>
      <c r="DA14" s="115">
        <f t="shared" si="20"/>
        <v>0</v>
      </c>
      <c r="DB14" s="114"/>
      <c r="DC14" s="114"/>
      <c r="DD14" s="114"/>
      <c r="DE14" s="115">
        <f t="shared" si="21"/>
        <v>0</v>
      </c>
      <c r="DF14" s="5"/>
      <c r="DG14" s="114"/>
      <c r="DH14" s="114"/>
      <c r="DI14" s="115">
        <f t="shared" si="22"/>
        <v>0</v>
      </c>
      <c r="DK14" s="114"/>
      <c r="DL14" s="114"/>
      <c r="DM14" s="115">
        <f t="shared" si="23"/>
        <v>0</v>
      </c>
      <c r="DO14" s="107">
        <f t="shared" si="26"/>
        <v>0</v>
      </c>
      <c r="DP14"/>
      <c r="DQ14" s="129" t="str">
        <f t="shared" si="27"/>
        <v>-</v>
      </c>
      <c r="DR14"/>
      <c r="DS14" s="173" t="str">
        <f>IFERROR(RANK(DQ14,$DQ$6:$DQ$70)&amp;LOOKUP(RANK(DQ14,$DQ$6:$DQ$70),{1,2,3,4;"st","nd","rd","th"}),"-")</f>
        <v>-</v>
      </c>
      <c r="DT14" s="167">
        <f>'FIRST TERM'!DO14</f>
        <v>0</v>
      </c>
      <c r="DU14" s="168">
        <f>'SECOND TERM'!DO14</f>
        <v>0</v>
      </c>
      <c r="DV14" s="158">
        <f t="shared" si="28"/>
        <v>0</v>
      </c>
      <c r="DW14" s="177" t="str">
        <f>RANK(DV14,$DV$6:$DV$70)&amp;LOOKUP(RANK(DV14,$DV$6:$DV$70),{1,2,3,4;"st","nd","rd","th"})</f>
        <v>12th</v>
      </c>
    </row>
    <row r="15" spans="1:129">
      <c r="A15" s="75">
        <v>10</v>
      </c>
      <c r="B15" s="74" t="s">
        <v>118</v>
      </c>
      <c r="C15" s="33"/>
      <c r="D15" s="34"/>
      <c r="E15" s="35"/>
      <c r="F15"/>
      <c r="G15" s="34"/>
      <c r="H15" s="34"/>
      <c r="I15" s="34"/>
      <c r="J15" s="34"/>
      <c r="K15" s="5"/>
      <c r="L15" s="36"/>
      <c r="M15" s="36"/>
      <c r="N15" s="36"/>
      <c r="O15" s="36"/>
      <c r="P15" s="36"/>
      <c r="Q15" s="36"/>
      <c r="R15" s="5"/>
      <c r="S15" s="114"/>
      <c r="T15" s="114"/>
      <c r="U15" s="115">
        <f t="shared" si="24"/>
        <v>0</v>
      </c>
      <c r="V15" s="116"/>
      <c r="W15" s="114"/>
      <c r="X15" s="114"/>
      <c r="Y15" s="115">
        <f t="shared" si="1"/>
        <v>0</v>
      </c>
      <c r="Z15" s="116"/>
      <c r="AA15" s="114"/>
      <c r="AB15" s="114"/>
      <c r="AC15" s="115">
        <f t="shared" si="2"/>
        <v>0</v>
      </c>
      <c r="AD15" s="114"/>
      <c r="AE15" s="114"/>
      <c r="AF15" s="114"/>
      <c r="AG15" s="115">
        <f t="shared" si="3"/>
        <v>0</v>
      </c>
      <c r="AH15" s="116"/>
      <c r="AI15" s="114"/>
      <c r="AJ15" s="114"/>
      <c r="AK15" s="115">
        <f t="shared" si="4"/>
        <v>0</v>
      </c>
      <c r="AL15" s="116"/>
      <c r="AM15" s="114"/>
      <c r="AN15" s="114"/>
      <c r="AO15" s="115">
        <f t="shared" si="5"/>
        <v>0</v>
      </c>
      <c r="AP15" s="116"/>
      <c r="AQ15" s="114"/>
      <c r="AR15" s="114"/>
      <c r="AS15" s="115">
        <f t="shared" si="6"/>
        <v>0</v>
      </c>
      <c r="AT15" s="114"/>
      <c r="AU15" s="114"/>
      <c r="AV15" s="114"/>
      <c r="AW15" s="117">
        <f t="shared" si="25"/>
        <v>0</v>
      </c>
      <c r="AX15" s="114"/>
      <c r="AY15" s="114"/>
      <c r="AZ15" s="114"/>
      <c r="BA15" s="115">
        <f t="shared" si="7"/>
        <v>0</v>
      </c>
      <c r="BB15" s="116"/>
      <c r="BC15" s="114"/>
      <c r="BD15" s="114"/>
      <c r="BE15" s="115">
        <f t="shared" si="8"/>
        <v>0</v>
      </c>
      <c r="BF15" s="114"/>
      <c r="BG15" s="114"/>
      <c r="BH15" s="114"/>
      <c r="BI15" s="115">
        <f t="shared" si="9"/>
        <v>0</v>
      </c>
      <c r="BJ15" s="114"/>
      <c r="BK15" s="114"/>
      <c r="BL15" s="114"/>
      <c r="BM15" s="115">
        <f t="shared" si="10"/>
        <v>0</v>
      </c>
      <c r="BN15" s="114"/>
      <c r="BO15" s="114"/>
      <c r="BP15" s="114"/>
      <c r="BQ15" s="115">
        <f t="shared" si="11"/>
        <v>0</v>
      </c>
      <c r="BR15" s="114"/>
      <c r="BS15" s="114"/>
      <c r="BT15" s="114"/>
      <c r="BU15" s="115">
        <f t="shared" si="12"/>
        <v>0</v>
      </c>
      <c r="BV15" s="114"/>
      <c r="BW15" s="114"/>
      <c r="BX15" s="114"/>
      <c r="BY15" s="115">
        <f t="shared" si="13"/>
        <v>0</v>
      </c>
      <c r="BZ15" s="114"/>
      <c r="CA15" s="114"/>
      <c r="CB15" s="114"/>
      <c r="CC15" s="115">
        <f t="shared" si="14"/>
        <v>0</v>
      </c>
      <c r="CD15" s="5"/>
      <c r="CE15" s="114"/>
      <c r="CF15" s="114"/>
      <c r="CG15" s="115">
        <f t="shared" si="15"/>
        <v>0</v>
      </c>
      <c r="CI15" s="114"/>
      <c r="CJ15" s="114"/>
      <c r="CK15" s="115">
        <f t="shared" si="16"/>
        <v>0</v>
      </c>
      <c r="CM15" s="114"/>
      <c r="CN15" s="114"/>
      <c r="CO15" s="115">
        <f t="shared" si="17"/>
        <v>0</v>
      </c>
      <c r="CP15" s="114"/>
      <c r="CQ15" s="114"/>
      <c r="CR15" s="114"/>
      <c r="CS15" s="115">
        <f t="shared" si="18"/>
        <v>0</v>
      </c>
      <c r="CT15" s="114"/>
      <c r="CU15" s="114"/>
      <c r="CV15" s="114"/>
      <c r="CW15" s="115">
        <f t="shared" si="19"/>
        <v>0</v>
      </c>
      <c r="CX15" s="114"/>
      <c r="CY15" s="114"/>
      <c r="CZ15" s="114"/>
      <c r="DA15" s="115">
        <f t="shared" si="20"/>
        <v>0</v>
      </c>
      <c r="DB15" s="114"/>
      <c r="DC15" s="114"/>
      <c r="DD15" s="114"/>
      <c r="DE15" s="115">
        <f t="shared" si="21"/>
        <v>0</v>
      </c>
      <c r="DF15" s="5"/>
      <c r="DG15" s="114"/>
      <c r="DH15" s="114"/>
      <c r="DI15" s="115">
        <f t="shared" si="22"/>
        <v>0</v>
      </c>
      <c r="DK15" s="114"/>
      <c r="DL15" s="114"/>
      <c r="DM15" s="115">
        <f t="shared" si="23"/>
        <v>0</v>
      </c>
      <c r="DO15" s="107">
        <f t="shared" si="26"/>
        <v>0</v>
      </c>
      <c r="DP15"/>
      <c r="DQ15" s="129" t="str">
        <f t="shared" si="27"/>
        <v>-</v>
      </c>
      <c r="DR15"/>
      <c r="DS15" s="173" t="str">
        <f>IFERROR(RANK(DQ15,$DQ$6:$DQ$70)&amp;LOOKUP(RANK(DQ15,$DQ$6:$DQ$70),{1,2,3,4;"st","nd","rd","th"}),"-")</f>
        <v>-</v>
      </c>
      <c r="DT15" s="167">
        <f>'FIRST TERM'!DO15</f>
        <v>0</v>
      </c>
      <c r="DU15" s="168">
        <f>'SECOND TERM'!DO15</f>
        <v>0</v>
      </c>
      <c r="DV15" s="158">
        <f t="shared" si="28"/>
        <v>0</v>
      </c>
      <c r="DW15" s="177" t="str">
        <f>RANK(DV15,$DV$6:$DV$70)&amp;LOOKUP(RANK(DV15,$DV$6:$DV$70),{1,2,3,4;"st","nd","rd","th"})</f>
        <v>12th</v>
      </c>
    </row>
    <row r="16" spans="1:129">
      <c r="A16" s="75">
        <v>11</v>
      </c>
      <c r="B16" s="188" t="s">
        <v>119</v>
      </c>
      <c r="C16" s="33"/>
      <c r="D16" s="34"/>
      <c r="E16" s="35"/>
      <c r="F16"/>
      <c r="G16" s="34"/>
      <c r="H16" s="34"/>
      <c r="I16" s="34"/>
      <c r="J16" s="34"/>
      <c r="K16" s="5"/>
      <c r="L16" s="36"/>
      <c r="M16" s="36"/>
      <c r="N16" s="36"/>
      <c r="O16" s="36"/>
      <c r="P16" s="36"/>
      <c r="Q16" s="36"/>
      <c r="R16" s="5"/>
      <c r="S16" s="114"/>
      <c r="T16" s="114"/>
      <c r="U16" s="115">
        <f t="shared" si="24"/>
        <v>0</v>
      </c>
      <c r="V16" s="116"/>
      <c r="W16" s="114"/>
      <c r="X16" s="114"/>
      <c r="Y16" s="115">
        <f t="shared" si="1"/>
        <v>0</v>
      </c>
      <c r="Z16" s="116"/>
      <c r="AA16" s="114"/>
      <c r="AB16" s="114"/>
      <c r="AC16" s="115">
        <f t="shared" si="2"/>
        <v>0</v>
      </c>
      <c r="AD16" s="114"/>
      <c r="AE16" s="114"/>
      <c r="AF16" s="114"/>
      <c r="AG16" s="115">
        <f t="shared" si="3"/>
        <v>0</v>
      </c>
      <c r="AH16" s="116"/>
      <c r="AI16" s="114"/>
      <c r="AJ16" s="114"/>
      <c r="AK16" s="115">
        <f t="shared" si="4"/>
        <v>0</v>
      </c>
      <c r="AL16" s="116"/>
      <c r="AM16" s="114"/>
      <c r="AN16" s="114"/>
      <c r="AO16" s="115">
        <f t="shared" si="5"/>
        <v>0</v>
      </c>
      <c r="AP16" s="116"/>
      <c r="AQ16" s="114"/>
      <c r="AR16" s="114"/>
      <c r="AS16" s="115">
        <f t="shared" si="6"/>
        <v>0</v>
      </c>
      <c r="AT16" s="114"/>
      <c r="AU16" s="114"/>
      <c r="AV16" s="114"/>
      <c r="AW16" s="117">
        <f t="shared" si="25"/>
        <v>0</v>
      </c>
      <c r="AX16" s="114"/>
      <c r="AY16" s="114"/>
      <c r="AZ16" s="114"/>
      <c r="BA16" s="115">
        <f t="shared" si="7"/>
        <v>0</v>
      </c>
      <c r="BB16" s="116"/>
      <c r="BC16" s="114"/>
      <c r="BD16" s="114"/>
      <c r="BE16" s="115">
        <f t="shared" si="8"/>
        <v>0</v>
      </c>
      <c r="BF16" s="114"/>
      <c r="BG16" s="114"/>
      <c r="BH16" s="114"/>
      <c r="BI16" s="115">
        <f t="shared" si="9"/>
        <v>0</v>
      </c>
      <c r="BJ16" s="114"/>
      <c r="BK16" s="114"/>
      <c r="BL16" s="114"/>
      <c r="BM16" s="115">
        <f t="shared" si="10"/>
        <v>0</v>
      </c>
      <c r="BN16" s="114"/>
      <c r="BO16" s="114"/>
      <c r="BP16" s="114"/>
      <c r="BQ16" s="115">
        <f t="shared" si="11"/>
        <v>0</v>
      </c>
      <c r="BR16" s="114"/>
      <c r="BS16" s="114"/>
      <c r="BT16" s="114"/>
      <c r="BU16" s="115">
        <f t="shared" si="12"/>
        <v>0</v>
      </c>
      <c r="BV16" s="114"/>
      <c r="BW16" s="114"/>
      <c r="BX16" s="114"/>
      <c r="BY16" s="115">
        <f t="shared" si="13"/>
        <v>0</v>
      </c>
      <c r="BZ16" s="114"/>
      <c r="CA16" s="114"/>
      <c r="CB16" s="114"/>
      <c r="CC16" s="115">
        <f t="shared" si="14"/>
        <v>0</v>
      </c>
      <c r="CD16" s="5"/>
      <c r="CE16" s="114"/>
      <c r="CF16" s="114"/>
      <c r="CG16" s="115">
        <f t="shared" si="15"/>
        <v>0</v>
      </c>
      <c r="CI16" s="114"/>
      <c r="CJ16" s="114"/>
      <c r="CK16" s="115">
        <f t="shared" si="16"/>
        <v>0</v>
      </c>
      <c r="CM16" s="114"/>
      <c r="CN16" s="114"/>
      <c r="CO16" s="115">
        <f t="shared" si="17"/>
        <v>0</v>
      </c>
      <c r="CP16" s="114"/>
      <c r="CQ16" s="114"/>
      <c r="CR16" s="114"/>
      <c r="CS16" s="115">
        <f t="shared" si="18"/>
        <v>0</v>
      </c>
      <c r="CT16" s="114"/>
      <c r="CU16" s="114"/>
      <c r="CV16" s="114"/>
      <c r="CW16" s="115">
        <f t="shared" si="19"/>
        <v>0</v>
      </c>
      <c r="CX16" s="114"/>
      <c r="CY16" s="114"/>
      <c r="CZ16" s="114"/>
      <c r="DA16" s="115">
        <f t="shared" si="20"/>
        <v>0</v>
      </c>
      <c r="DB16" s="114"/>
      <c r="DC16" s="114"/>
      <c r="DD16" s="114"/>
      <c r="DE16" s="115">
        <f t="shared" si="21"/>
        <v>0</v>
      </c>
      <c r="DF16" s="5"/>
      <c r="DG16" s="114"/>
      <c r="DH16" s="114"/>
      <c r="DI16" s="115">
        <f t="shared" si="22"/>
        <v>0</v>
      </c>
      <c r="DK16" s="114"/>
      <c r="DL16" s="114"/>
      <c r="DM16" s="115">
        <f t="shared" si="23"/>
        <v>0</v>
      </c>
      <c r="DO16" s="107">
        <f t="shared" si="26"/>
        <v>0</v>
      </c>
      <c r="DP16"/>
      <c r="DQ16" s="129" t="str">
        <f t="shared" si="27"/>
        <v>-</v>
      </c>
      <c r="DR16"/>
      <c r="DS16" s="173" t="str">
        <f>IFERROR(RANK(DQ16,$DQ$6:$DQ$70)&amp;LOOKUP(RANK(DQ16,$DQ$6:$DQ$70),{1,2,3,4;"st","nd","rd","th"}),"-")</f>
        <v>-</v>
      </c>
      <c r="DT16" s="167">
        <f>'FIRST TERM'!DO16</f>
        <v>0</v>
      </c>
      <c r="DU16" s="168">
        <f>'SECOND TERM'!DO16</f>
        <v>0</v>
      </c>
      <c r="DV16" s="158">
        <f t="shared" si="28"/>
        <v>0</v>
      </c>
      <c r="DW16" s="177" t="str">
        <f>RANK(DV16,$DV$6:$DV$70)&amp;LOOKUP(RANK(DV16,$DV$6:$DV$70),{1,2,3,4;"st","nd","rd","th"})</f>
        <v>12th</v>
      </c>
    </row>
    <row r="17" spans="1:127">
      <c r="A17" s="178">
        <v>12</v>
      </c>
      <c r="B17" s="182" t="s">
        <v>168</v>
      </c>
      <c r="C17" s="179"/>
      <c r="D17" s="34"/>
      <c r="E17" s="35"/>
      <c r="F17"/>
      <c r="G17" s="34"/>
      <c r="H17" s="34"/>
      <c r="I17" s="34"/>
      <c r="J17" s="34"/>
      <c r="K17" s="5"/>
      <c r="L17" s="36"/>
      <c r="M17" s="36"/>
      <c r="N17" s="36"/>
      <c r="O17" s="36"/>
      <c r="P17" s="36"/>
      <c r="Q17" s="36"/>
      <c r="R17" s="5"/>
      <c r="S17" s="114"/>
      <c r="T17" s="114"/>
      <c r="U17" s="115">
        <f t="shared" si="24"/>
        <v>0</v>
      </c>
      <c r="V17" s="116"/>
      <c r="W17" s="114"/>
      <c r="X17" s="114"/>
      <c r="Y17" s="115">
        <f t="shared" si="1"/>
        <v>0</v>
      </c>
      <c r="Z17" s="116"/>
      <c r="AA17" s="114"/>
      <c r="AB17" s="114"/>
      <c r="AC17" s="115">
        <f t="shared" si="2"/>
        <v>0</v>
      </c>
      <c r="AD17" s="114"/>
      <c r="AE17" s="114"/>
      <c r="AF17" s="114"/>
      <c r="AG17" s="115">
        <f t="shared" si="3"/>
        <v>0</v>
      </c>
      <c r="AH17" s="116"/>
      <c r="AI17" s="114"/>
      <c r="AJ17" s="114"/>
      <c r="AK17" s="115">
        <f t="shared" si="4"/>
        <v>0</v>
      </c>
      <c r="AL17" s="116"/>
      <c r="AM17" s="114"/>
      <c r="AN17" s="114"/>
      <c r="AO17" s="115">
        <f t="shared" si="5"/>
        <v>0</v>
      </c>
      <c r="AP17" s="116"/>
      <c r="AQ17" s="114"/>
      <c r="AR17" s="114"/>
      <c r="AS17" s="115">
        <f t="shared" si="6"/>
        <v>0</v>
      </c>
      <c r="AT17" s="114"/>
      <c r="AU17" s="114"/>
      <c r="AV17" s="114"/>
      <c r="AW17" s="117">
        <f t="shared" si="25"/>
        <v>0</v>
      </c>
      <c r="AX17" s="114"/>
      <c r="AY17" s="114"/>
      <c r="AZ17" s="114"/>
      <c r="BA17" s="115">
        <f t="shared" si="7"/>
        <v>0</v>
      </c>
      <c r="BB17" s="116"/>
      <c r="BC17" s="114"/>
      <c r="BD17" s="114"/>
      <c r="BE17" s="115">
        <f t="shared" si="8"/>
        <v>0</v>
      </c>
      <c r="BF17" s="114"/>
      <c r="BG17" s="114"/>
      <c r="BH17" s="114"/>
      <c r="BI17" s="115">
        <f t="shared" si="9"/>
        <v>0</v>
      </c>
      <c r="BJ17" s="114"/>
      <c r="BK17" s="114"/>
      <c r="BL17" s="114"/>
      <c r="BM17" s="115">
        <f t="shared" si="10"/>
        <v>0</v>
      </c>
      <c r="BN17" s="114"/>
      <c r="BO17" s="114"/>
      <c r="BP17" s="114"/>
      <c r="BQ17" s="115">
        <f t="shared" si="11"/>
        <v>0</v>
      </c>
      <c r="BR17" s="114"/>
      <c r="BS17" s="114"/>
      <c r="BT17" s="114"/>
      <c r="BU17" s="115">
        <f t="shared" si="12"/>
        <v>0</v>
      </c>
      <c r="BV17" s="114"/>
      <c r="BW17" s="114"/>
      <c r="BX17" s="114"/>
      <c r="BY17" s="115">
        <f t="shared" si="13"/>
        <v>0</v>
      </c>
      <c r="BZ17" s="114"/>
      <c r="CA17" s="114"/>
      <c r="CB17" s="114"/>
      <c r="CC17" s="115">
        <f t="shared" si="14"/>
        <v>0</v>
      </c>
      <c r="CD17" s="5"/>
      <c r="CE17" s="114"/>
      <c r="CF17" s="114"/>
      <c r="CG17" s="115">
        <f t="shared" si="15"/>
        <v>0</v>
      </c>
      <c r="CI17" s="114"/>
      <c r="CJ17" s="114"/>
      <c r="CK17" s="115">
        <f t="shared" si="16"/>
        <v>0</v>
      </c>
      <c r="CM17" s="114"/>
      <c r="CN17" s="114"/>
      <c r="CO17" s="115">
        <f t="shared" si="17"/>
        <v>0</v>
      </c>
      <c r="CP17" s="114"/>
      <c r="CQ17" s="114"/>
      <c r="CR17" s="114"/>
      <c r="CS17" s="115">
        <f t="shared" si="18"/>
        <v>0</v>
      </c>
      <c r="CT17" s="114"/>
      <c r="CU17" s="114"/>
      <c r="CV17" s="114"/>
      <c r="CW17" s="115">
        <f t="shared" si="19"/>
        <v>0</v>
      </c>
      <c r="CX17" s="114"/>
      <c r="CY17" s="114"/>
      <c r="CZ17" s="114"/>
      <c r="DA17" s="115">
        <f t="shared" si="20"/>
        <v>0</v>
      </c>
      <c r="DB17" s="114"/>
      <c r="DC17" s="114"/>
      <c r="DD17" s="114"/>
      <c r="DE17" s="115">
        <f t="shared" si="21"/>
        <v>0</v>
      </c>
      <c r="DF17" s="5"/>
      <c r="DG17" s="114"/>
      <c r="DH17" s="114"/>
      <c r="DI17" s="115">
        <f t="shared" si="22"/>
        <v>0</v>
      </c>
      <c r="DK17" s="114"/>
      <c r="DL17" s="114"/>
      <c r="DM17" s="115">
        <f t="shared" si="23"/>
        <v>0</v>
      </c>
      <c r="DO17" s="107">
        <f t="shared" si="26"/>
        <v>0</v>
      </c>
      <c r="DP17"/>
      <c r="DQ17" s="129" t="str">
        <f t="shared" si="27"/>
        <v>-</v>
      </c>
      <c r="DR17"/>
      <c r="DS17" s="173" t="str">
        <f>IFERROR(RANK(DQ17,$DQ$6:$DQ$70)&amp;LOOKUP(RANK(DQ17,$DQ$6:$DQ$70),{1,2,3,4;"st","nd","rd","th"}),"-")</f>
        <v>-</v>
      </c>
      <c r="DT17" s="167">
        <f>'FIRST TERM'!DO17</f>
        <v>0</v>
      </c>
      <c r="DU17" s="168">
        <f>'SECOND TERM'!DO17</f>
        <v>0</v>
      </c>
      <c r="DV17" s="158">
        <f t="shared" si="28"/>
        <v>0</v>
      </c>
      <c r="DW17" s="177" t="str">
        <f>RANK(DV17,$DV$6:$DV$70)&amp;LOOKUP(RANK(DV17,$DV$6:$DV$70),{1,2,3,4;"st","nd","rd","th"})</f>
        <v>12th</v>
      </c>
    </row>
    <row r="18" spans="1:127">
      <c r="A18" s="178">
        <v>13</v>
      </c>
      <c r="B18" s="182" t="s">
        <v>130</v>
      </c>
      <c r="C18" s="179"/>
      <c r="D18" s="34"/>
      <c r="E18" s="35"/>
      <c r="F18"/>
      <c r="G18" s="34"/>
      <c r="H18" s="34"/>
      <c r="I18" s="34"/>
      <c r="J18" s="34"/>
      <c r="K18" s="5"/>
      <c r="L18" s="36"/>
      <c r="M18" s="36"/>
      <c r="N18" s="36"/>
      <c r="O18" s="36"/>
      <c r="P18" s="36"/>
      <c r="Q18" s="36"/>
      <c r="R18" s="5"/>
      <c r="S18" s="114"/>
      <c r="T18" s="114"/>
      <c r="U18" s="115">
        <f t="shared" si="24"/>
        <v>0</v>
      </c>
      <c r="V18" s="116"/>
      <c r="W18" s="114"/>
      <c r="X18" s="114"/>
      <c r="Y18" s="115">
        <f t="shared" si="1"/>
        <v>0</v>
      </c>
      <c r="Z18" s="116"/>
      <c r="AA18" s="114"/>
      <c r="AB18" s="114"/>
      <c r="AC18" s="115">
        <f t="shared" si="2"/>
        <v>0</v>
      </c>
      <c r="AD18" s="114"/>
      <c r="AE18" s="114"/>
      <c r="AF18" s="114"/>
      <c r="AG18" s="115">
        <f t="shared" si="3"/>
        <v>0</v>
      </c>
      <c r="AH18" s="116"/>
      <c r="AI18" s="114"/>
      <c r="AJ18" s="114"/>
      <c r="AK18" s="115">
        <f t="shared" si="4"/>
        <v>0</v>
      </c>
      <c r="AL18" s="116"/>
      <c r="AM18" s="114"/>
      <c r="AN18" s="114"/>
      <c r="AO18" s="115">
        <f t="shared" si="5"/>
        <v>0</v>
      </c>
      <c r="AP18" s="116"/>
      <c r="AQ18" s="114"/>
      <c r="AR18" s="114"/>
      <c r="AS18" s="115">
        <f t="shared" si="6"/>
        <v>0</v>
      </c>
      <c r="AT18" s="114"/>
      <c r="AU18" s="114"/>
      <c r="AV18" s="114"/>
      <c r="AW18" s="117">
        <f t="shared" si="25"/>
        <v>0</v>
      </c>
      <c r="AX18" s="114"/>
      <c r="AY18" s="114"/>
      <c r="AZ18" s="114"/>
      <c r="BA18" s="115">
        <f t="shared" si="7"/>
        <v>0</v>
      </c>
      <c r="BB18" s="116"/>
      <c r="BC18" s="114"/>
      <c r="BD18" s="114"/>
      <c r="BE18" s="115">
        <f t="shared" si="8"/>
        <v>0</v>
      </c>
      <c r="BF18" s="114"/>
      <c r="BG18" s="114"/>
      <c r="BH18" s="114"/>
      <c r="BI18" s="115">
        <f t="shared" si="9"/>
        <v>0</v>
      </c>
      <c r="BJ18" s="114"/>
      <c r="BK18" s="114"/>
      <c r="BL18" s="114"/>
      <c r="BM18" s="115">
        <f t="shared" si="10"/>
        <v>0</v>
      </c>
      <c r="BN18" s="114"/>
      <c r="BO18" s="114"/>
      <c r="BP18" s="114"/>
      <c r="BQ18" s="115">
        <f t="shared" si="11"/>
        <v>0</v>
      </c>
      <c r="BR18" s="114"/>
      <c r="BS18" s="114"/>
      <c r="BT18" s="114"/>
      <c r="BU18" s="115">
        <f t="shared" si="12"/>
        <v>0</v>
      </c>
      <c r="BV18" s="114"/>
      <c r="BW18" s="114"/>
      <c r="BX18" s="114"/>
      <c r="BY18" s="115">
        <f t="shared" si="13"/>
        <v>0</v>
      </c>
      <c r="BZ18" s="114"/>
      <c r="CA18" s="114"/>
      <c r="CB18" s="114"/>
      <c r="CC18" s="115">
        <f t="shared" si="14"/>
        <v>0</v>
      </c>
      <c r="CD18" s="5"/>
      <c r="CE18" s="114"/>
      <c r="CF18" s="114"/>
      <c r="CG18" s="115">
        <f t="shared" si="15"/>
        <v>0</v>
      </c>
      <c r="CI18" s="114"/>
      <c r="CJ18" s="114"/>
      <c r="CK18" s="115">
        <f t="shared" si="16"/>
        <v>0</v>
      </c>
      <c r="CM18" s="114"/>
      <c r="CN18" s="114"/>
      <c r="CO18" s="115">
        <f t="shared" si="17"/>
        <v>0</v>
      </c>
      <c r="CP18" s="114"/>
      <c r="CQ18" s="114"/>
      <c r="CR18" s="114"/>
      <c r="CS18" s="115">
        <f t="shared" si="18"/>
        <v>0</v>
      </c>
      <c r="CT18" s="114"/>
      <c r="CU18" s="114"/>
      <c r="CV18" s="114"/>
      <c r="CW18" s="115">
        <f t="shared" si="19"/>
        <v>0</v>
      </c>
      <c r="CX18" s="114"/>
      <c r="CY18" s="114"/>
      <c r="CZ18" s="114"/>
      <c r="DA18" s="115">
        <f t="shared" si="20"/>
        <v>0</v>
      </c>
      <c r="DB18" s="114"/>
      <c r="DC18" s="114"/>
      <c r="DD18" s="114"/>
      <c r="DE18" s="115">
        <f t="shared" si="21"/>
        <v>0</v>
      </c>
      <c r="DF18" s="5"/>
      <c r="DG18" s="114"/>
      <c r="DH18" s="114"/>
      <c r="DI18" s="115">
        <f t="shared" si="22"/>
        <v>0</v>
      </c>
      <c r="DK18" s="114"/>
      <c r="DL18" s="114"/>
      <c r="DM18" s="115">
        <f t="shared" si="23"/>
        <v>0</v>
      </c>
      <c r="DO18" s="107">
        <f t="shared" si="26"/>
        <v>0</v>
      </c>
      <c r="DP18"/>
      <c r="DQ18" s="129" t="str">
        <f t="shared" si="27"/>
        <v>-</v>
      </c>
      <c r="DR18"/>
      <c r="DS18" s="173" t="str">
        <f>IFERROR(RANK(DQ18,$DQ$6:$DQ$70)&amp;LOOKUP(RANK(DQ18,$DQ$6:$DQ$70),{1,2,3,4;"st","nd","rd","th"}),"-")</f>
        <v>-</v>
      </c>
      <c r="DT18" s="167">
        <f>'FIRST TERM'!DO18</f>
        <v>0</v>
      </c>
      <c r="DU18" s="168">
        <f>'SECOND TERM'!DO18</f>
        <v>0</v>
      </c>
      <c r="DV18" s="158">
        <f t="shared" si="28"/>
        <v>0</v>
      </c>
      <c r="DW18" s="177" t="str">
        <f>RANK(DV18,$DV$6:$DV$70)&amp;LOOKUP(RANK(DV18,$DV$6:$DV$70),{1,2,3,4;"st","nd","rd","th"})</f>
        <v>12th</v>
      </c>
    </row>
    <row r="19" spans="1:127">
      <c r="A19" s="178">
        <v>14</v>
      </c>
      <c r="B19" s="182" t="s">
        <v>131</v>
      </c>
      <c r="C19" s="179"/>
      <c r="D19" s="34"/>
      <c r="E19" s="35"/>
      <c r="F19"/>
      <c r="G19" s="34"/>
      <c r="H19" s="34"/>
      <c r="I19" s="34"/>
      <c r="J19" s="34"/>
      <c r="K19" s="5"/>
      <c r="L19" s="36"/>
      <c r="M19" s="36"/>
      <c r="N19" s="36"/>
      <c r="O19" s="36"/>
      <c r="P19" s="36"/>
      <c r="Q19" s="36"/>
      <c r="R19" s="5"/>
      <c r="S19" s="114"/>
      <c r="T19" s="114"/>
      <c r="U19" s="115">
        <f t="shared" si="24"/>
        <v>0</v>
      </c>
      <c r="V19" s="116"/>
      <c r="W19" s="114"/>
      <c r="X19" s="114"/>
      <c r="Y19" s="115">
        <f t="shared" si="1"/>
        <v>0</v>
      </c>
      <c r="Z19" s="116"/>
      <c r="AA19" s="114"/>
      <c r="AB19" s="114"/>
      <c r="AC19" s="115">
        <f t="shared" si="2"/>
        <v>0</v>
      </c>
      <c r="AD19" s="114"/>
      <c r="AE19" s="114"/>
      <c r="AF19" s="114"/>
      <c r="AG19" s="115">
        <f t="shared" si="3"/>
        <v>0</v>
      </c>
      <c r="AH19" s="116"/>
      <c r="AI19" s="114"/>
      <c r="AJ19" s="114"/>
      <c r="AK19" s="115">
        <f t="shared" si="4"/>
        <v>0</v>
      </c>
      <c r="AL19" s="116"/>
      <c r="AM19" s="114"/>
      <c r="AN19" s="114"/>
      <c r="AO19" s="115">
        <f t="shared" si="5"/>
        <v>0</v>
      </c>
      <c r="AP19" s="116"/>
      <c r="AQ19" s="114"/>
      <c r="AR19" s="114"/>
      <c r="AS19" s="115">
        <f t="shared" si="6"/>
        <v>0</v>
      </c>
      <c r="AT19" s="114"/>
      <c r="AU19" s="114"/>
      <c r="AV19" s="114"/>
      <c r="AW19" s="117">
        <f t="shared" si="25"/>
        <v>0</v>
      </c>
      <c r="AX19" s="114"/>
      <c r="AY19" s="114"/>
      <c r="AZ19" s="114"/>
      <c r="BA19" s="115">
        <f t="shared" si="7"/>
        <v>0</v>
      </c>
      <c r="BB19" s="116"/>
      <c r="BC19" s="114"/>
      <c r="BD19" s="114"/>
      <c r="BE19" s="115">
        <f t="shared" si="8"/>
        <v>0</v>
      </c>
      <c r="BF19" s="114"/>
      <c r="BG19" s="114"/>
      <c r="BH19" s="114"/>
      <c r="BI19" s="115">
        <f t="shared" si="9"/>
        <v>0</v>
      </c>
      <c r="BJ19" s="114"/>
      <c r="BK19" s="114"/>
      <c r="BL19" s="114"/>
      <c r="BM19" s="115">
        <f t="shared" si="10"/>
        <v>0</v>
      </c>
      <c r="BN19" s="114"/>
      <c r="BO19" s="114"/>
      <c r="BP19" s="114"/>
      <c r="BQ19" s="115">
        <f t="shared" si="11"/>
        <v>0</v>
      </c>
      <c r="BR19" s="114"/>
      <c r="BS19" s="114"/>
      <c r="BT19" s="114"/>
      <c r="BU19" s="115">
        <f t="shared" si="12"/>
        <v>0</v>
      </c>
      <c r="BV19" s="114"/>
      <c r="BW19" s="114"/>
      <c r="BX19" s="114"/>
      <c r="BY19" s="115">
        <f t="shared" si="13"/>
        <v>0</v>
      </c>
      <c r="BZ19" s="114"/>
      <c r="CA19" s="114"/>
      <c r="CB19" s="114"/>
      <c r="CC19" s="115">
        <f t="shared" si="14"/>
        <v>0</v>
      </c>
      <c r="CD19" s="5"/>
      <c r="CE19" s="114"/>
      <c r="CF19" s="114"/>
      <c r="CG19" s="115">
        <f t="shared" si="15"/>
        <v>0</v>
      </c>
      <c r="CI19" s="114"/>
      <c r="CJ19" s="114"/>
      <c r="CK19" s="115">
        <f t="shared" si="16"/>
        <v>0</v>
      </c>
      <c r="CM19" s="114"/>
      <c r="CN19" s="114"/>
      <c r="CO19" s="115">
        <f t="shared" si="17"/>
        <v>0</v>
      </c>
      <c r="CP19" s="114"/>
      <c r="CQ19" s="114"/>
      <c r="CR19" s="114"/>
      <c r="CS19" s="115">
        <f t="shared" si="18"/>
        <v>0</v>
      </c>
      <c r="CT19" s="114"/>
      <c r="CU19" s="114"/>
      <c r="CV19" s="114"/>
      <c r="CW19" s="115">
        <f t="shared" si="19"/>
        <v>0</v>
      </c>
      <c r="CX19" s="114"/>
      <c r="CY19" s="114"/>
      <c r="CZ19" s="114"/>
      <c r="DA19" s="115">
        <f t="shared" si="20"/>
        <v>0</v>
      </c>
      <c r="DB19" s="114"/>
      <c r="DC19" s="114"/>
      <c r="DD19" s="114"/>
      <c r="DE19" s="115">
        <f t="shared" si="21"/>
        <v>0</v>
      </c>
      <c r="DF19" s="5"/>
      <c r="DG19" s="114"/>
      <c r="DH19" s="114"/>
      <c r="DI19" s="115">
        <f t="shared" si="22"/>
        <v>0</v>
      </c>
      <c r="DK19" s="114"/>
      <c r="DL19" s="114"/>
      <c r="DM19" s="115">
        <f t="shared" si="23"/>
        <v>0</v>
      </c>
      <c r="DO19" s="107">
        <f t="shared" si="26"/>
        <v>0</v>
      </c>
      <c r="DP19"/>
      <c r="DQ19" s="129" t="str">
        <f t="shared" si="27"/>
        <v>-</v>
      </c>
      <c r="DR19"/>
      <c r="DS19" s="173" t="str">
        <f>IFERROR(RANK(DQ19,$DQ$6:$DQ$70)&amp;LOOKUP(RANK(DQ19,$DQ$6:$DQ$70),{1,2,3,4;"st","nd","rd","th"}),"-")</f>
        <v>-</v>
      </c>
      <c r="DT19" s="167">
        <f>'FIRST TERM'!DO19</f>
        <v>0</v>
      </c>
      <c r="DU19" s="168">
        <f>'SECOND TERM'!DO19</f>
        <v>0</v>
      </c>
      <c r="DV19" s="158">
        <f t="shared" si="28"/>
        <v>0</v>
      </c>
      <c r="DW19" s="177" t="str">
        <f>RANK(DV19,$DV$6:$DV$70)&amp;LOOKUP(RANK(DV19,$DV$6:$DV$70),{1,2,3,4;"st","nd","rd","th"})</f>
        <v>12th</v>
      </c>
    </row>
    <row r="20" spans="1:127">
      <c r="A20" s="178">
        <v>15</v>
      </c>
      <c r="B20" s="182" t="s">
        <v>132</v>
      </c>
      <c r="C20" s="179"/>
      <c r="D20" s="34"/>
      <c r="E20" s="35"/>
      <c r="F20"/>
      <c r="G20" s="34"/>
      <c r="H20" s="34"/>
      <c r="I20" s="34"/>
      <c r="J20" s="34"/>
      <c r="K20" s="5"/>
      <c r="L20" s="36"/>
      <c r="M20" s="36"/>
      <c r="N20" s="36"/>
      <c r="O20" s="36"/>
      <c r="P20" s="36"/>
      <c r="Q20" s="36"/>
      <c r="R20" s="5"/>
      <c r="S20" s="114"/>
      <c r="T20" s="114"/>
      <c r="U20" s="115">
        <f t="shared" si="24"/>
        <v>0</v>
      </c>
      <c r="V20" s="116"/>
      <c r="W20" s="114"/>
      <c r="X20" s="114"/>
      <c r="Y20" s="115">
        <f t="shared" si="1"/>
        <v>0</v>
      </c>
      <c r="Z20" s="116"/>
      <c r="AA20" s="114"/>
      <c r="AB20" s="114"/>
      <c r="AC20" s="115">
        <f t="shared" si="2"/>
        <v>0</v>
      </c>
      <c r="AD20" s="114"/>
      <c r="AE20" s="114"/>
      <c r="AF20" s="114"/>
      <c r="AG20" s="115">
        <f t="shared" si="3"/>
        <v>0</v>
      </c>
      <c r="AH20" s="116"/>
      <c r="AI20" s="114"/>
      <c r="AJ20" s="114"/>
      <c r="AK20" s="115">
        <f t="shared" si="4"/>
        <v>0</v>
      </c>
      <c r="AL20" s="116"/>
      <c r="AM20" s="114"/>
      <c r="AN20" s="114"/>
      <c r="AO20" s="115">
        <f t="shared" si="5"/>
        <v>0</v>
      </c>
      <c r="AP20" s="116"/>
      <c r="AQ20" s="114"/>
      <c r="AR20" s="114"/>
      <c r="AS20" s="115">
        <f t="shared" si="6"/>
        <v>0</v>
      </c>
      <c r="AT20" s="114"/>
      <c r="AU20" s="114"/>
      <c r="AV20" s="114"/>
      <c r="AW20" s="117">
        <f t="shared" si="25"/>
        <v>0</v>
      </c>
      <c r="AX20" s="114"/>
      <c r="AY20" s="114"/>
      <c r="AZ20" s="114"/>
      <c r="BA20" s="115">
        <f t="shared" si="7"/>
        <v>0</v>
      </c>
      <c r="BB20" s="116"/>
      <c r="BC20" s="114"/>
      <c r="BD20" s="114"/>
      <c r="BE20" s="115">
        <f t="shared" si="8"/>
        <v>0</v>
      </c>
      <c r="BF20" s="114"/>
      <c r="BG20" s="114"/>
      <c r="BH20" s="114"/>
      <c r="BI20" s="115">
        <f t="shared" si="9"/>
        <v>0</v>
      </c>
      <c r="BJ20" s="114"/>
      <c r="BK20" s="114"/>
      <c r="BL20" s="114"/>
      <c r="BM20" s="115">
        <f t="shared" si="10"/>
        <v>0</v>
      </c>
      <c r="BN20" s="114"/>
      <c r="BO20" s="114"/>
      <c r="BP20" s="114"/>
      <c r="BQ20" s="115">
        <f t="shared" si="11"/>
        <v>0</v>
      </c>
      <c r="BR20" s="114"/>
      <c r="BS20" s="114"/>
      <c r="BT20" s="114"/>
      <c r="BU20" s="115">
        <f t="shared" si="12"/>
        <v>0</v>
      </c>
      <c r="BV20" s="114"/>
      <c r="BW20" s="114"/>
      <c r="BX20" s="114"/>
      <c r="BY20" s="115">
        <f t="shared" si="13"/>
        <v>0</v>
      </c>
      <c r="BZ20" s="114"/>
      <c r="CA20" s="114"/>
      <c r="CB20" s="114"/>
      <c r="CC20" s="115">
        <f t="shared" si="14"/>
        <v>0</v>
      </c>
      <c r="CD20" s="5"/>
      <c r="CE20" s="114"/>
      <c r="CF20" s="114"/>
      <c r="CG20" s="115">
        <f t="shared" si="15"/>
        <v>0</v>
      </c>
      <c r="CI20" s="114"/>
      <c r="CJ20" s="114"/>
      <c r="CK20" s="115">
        <f t="shared" si="16"/>
        <v>0</v>
      </c>
      <c r="CM20" s="114"/>
      <c r="CN20" s="114"/>
      <c r="CO20" s="115">
        <f t="shared" si="17"/>
        <v>0</v>
      </c>
      <c r="CP20" s="114"/>
      <c r="CQ20" s="114"/>
      <c r="CR20" s="114"/>
      <c r="CS20" s="115">
        <f t="shared" si="18"/>
        <v>0</v>
      </c>
      <c r="CT20" s="114"/>
      <c r="CU20" s="114"/>
      <c r="CV20" s="114"/>
      <c r="CW20" s="115">
        <f t="shared" si="19"/>
        <v>0</v>
      </c>
      <c r="CX20" s="114"/>
      <c r="CY20" s="114"/>
      <c r="CZ20" s="114"/>
      <c r="DA20" s="115">
        <f t="shared" si="20"/>
        <v>0</v>
      </c>
      <c r="DB20" s="114"/>
      <c r="DC20" s="114"/>
      <c r="DD20" s="114"/>
      <c r="DE20" s="115">
        <f t="shared" si="21"/>
        <v>0</v>
      </c>
      <c r="DF20" s="5"/>
      <c r="DG20" s="114"/>
      <c r="DH20" s="114"/>
      <c r="DI20" s="115">
        <f t="shared" si="22"/>
        <v>0</v>
      </c>
      <c r="DK20" s="114"/>
      <c r="DL20" s="114"/>
      <c r="DM20" s="115">
        <f t="shared" si="23"/>
        <v>0</v>
      </c>
      <c r="DO20" s="107">
        <f t="shared" si="26"/>
        <v>0</v>
      </c>
      <c r="DP20"/>
      <c r="DQ20" s="129" t="str">
        <f t="shared" si="27"/>
        <v>-</v>
      </c>
      <c r="DR20"/>
      <c r="DS20" s="173" t="str">
        <f>IFERROR(RANK(DQ20,$DQ$6:$DQ$70)&amp;LOOKUP(RANK(DQ20,$DQ$6:$DQ$70),{1,2,3,4;"st","nd","rd","th"}),"-")</f>
        <v>-</v>
      </c>
      <c r="DT20" s="167">
        <f>'FIRST TERM'!DO20</f>
        <v>0</v>
      </c>
      <c r="DU20" s="168">
        <f>'SECOND TERM'!DO20</f>
        <v>0</v>
      </c>
      <c r="DV20" s="158">
        <f t="shared" si="28"/>
        <v>0</v>
      </c>
      <c r="DW20" s="177" t="str">
        <f>RANK(DV20,$DV$6:$DV$70)&amp;LOOKUP(RANK(DV20,$DV$6:$DV$70),{1,2,3,4;"st","nd","rd","th"})</f>
        <v>12th</v>
      </c>
    </row>
    <row r="21" spans="1:127">
      <c r="A21" s="178">
        <v>16</v>
      </c>
      <c r="B21" s="182" t="s">
        <v>133</v>
      </c>
      <c r="C21" s="179"/>
      <c r="D21" s="34"/>
      <c r="E21" s="35"/>
      <c r="F21"/>
      <c r="G21" s="34"/>
      <c r="H21" s="34"/>
      <c r="I21" s="34"/>
      <c r="J21" s="34"/>
      <c r="K21" s="5"/>
      <c r="L21" s="36"/>
      <c r="M21" s="36"/>
      <c r="N21" s="36"/>
      <c r="O21" s="36"/>
      <c r="P21" s="36"/>
      <c r="Q21" s="36"/>
      <c r="R21" s="5"/>
      <c r="S21" s="114"/>
      <c r="T21" s="114"/>
      <c r="U21" s="115">
        <f t="shared" si="24"/>
        <v>0</v>
      </c>
      <c r="V21" s="116"/>
      <c r="W21" s="114"/>
      <c r="X21" s="114"/>
      <c r="Y21" s="115">
        <f t="shared" si="1"/>
        <v>0</v>
      </c>
      <c r="Z21" s="116"/>
      <c r="AA21" s="114"/>
      <c r="AB21" s="114"/>
      <c r="AC21" s="115">
        <f t="shared" si="2"/>
        <v>0</v>
      </c>
      <c r="AD21" s="114"/>
      <c r="AE21" s="114"/>
      <c r="AF21" s="114"/>
      <c r="AG21" s="115">
        <f t="shared" si="3"/>
        <v>0</v>
      </c>
      <c r="AH21" s="116"/>
      <c r="AI21" s="114"/>
      <c r="AJ21" s="114"/>
      <c r="AK21" s="115">
        <f t="shared" si="4"/>
        <v>0</v>
      </c>
      <c r="AL21" s="116"/>
      <c r="AM21" s="114"/>
      <c r="AN21" s="114"/>
      <c r="AO21" s="115">
        <f t="shared" si="5"/>
        <v>0</v>
      </c>
      <c r="AP21" s="116"/>
      <c r="AQ21" s="114"/>
      <c r="AR21" s="114"/>
      <c r="AS21" s="115">
        <f t="shared" si="6"/>
        <v>0</v>
      </c>
      <c r="AT21" s="114"/>
      <c r="AU21" s="114"/>
      <c r="AV21" s="114"/>
      <c r="AW21" s="117">
        <f t="shared" si="25"/>
        <v>0</v>
      </c>
      <c r="AX21" s="114"/>
      <c r="AY21" s="114"/>
      <c r="AZ21" s="114"/>
      <c r="BA21" s="115">
        <f t="shared" si="7"/>
        <v>0</v>
      </c>
      <c r="BB21" s="116"/>
      <c r="BC21" s="114"/>
      <c r="BD21" s="114"/>
      <c r="BE21" s="115">
        <f t="shared" si="8"/>
        <v>0</v>
      </c>
      <c r="BF21" s="114"/>
      <c r="BG21" s="114"/>
      <c r="BH21" s="114"/>
      <c r="BI21" s="115">
        <f t="shared" si="9"/>
        <v>0</v>
      </c>
      <c r="BJ21" s="114"/>
      <c r="BK21" s="114"/>
      <c r="BL21" s="114"/>
      <c r="BM21" s="115">
        <f t="shared" si="10"/>
        <v>0</v>
      </c>
      <c r="BN21" s="114"/>
      <c r="BO21" s="114"/>
      <c r="BP21" s="114"/>
      <c r="BQ21" s="115">
        <f t="shared" si="11"/>
        <v>0</v>
      </c>
      <c r="BR21" s="114"/>
      <c r="BS21" s="114"/>
      <c r="BT21" s="114"/>
      <c r="BU21" s="115">
        <f t="shared" si="12"/>
        <v>0</v>
      </c>
      <c r="BV21" s="114"/>
      <c r="BW21" s="114"/>
      <c r="BX21" s="114"/>
      <c r="BY21" s="115">
        <f t="shared" si="13"/>
        <v>0</v>
      </c>
      <c r="BZ21" s="114"/>
      <c r="CA21" s="114"/>
      <c r="CB21" s="114"/>
      <c r="CC21" s="115">
        <f t="shared" si="14"/>
        <v>0</v>
      </c>
      <c r="CD21" s="5"/>
      <c r="CE21" s="114"/>
      <c r="CF21" s="114"/>
      <c r="CG21" s="115">
        <f t="shared" si="15"/>
        <v>0</v>
      </c>
      <c r="CI21" s="114"/>
      <c r="CJ21" s="114"/>
      <c r="CK21" s="115">
        <f t="shared" si="16"/>
        <v>0</v>
      </c>
      <c r="CM21" s="114"/>
      <c r="CN21" s="114"/>
      <c r="CO21" s="115">
        <f t="shared" si="17"/>
        <v>0</v>
      </c>
      <c r="CP21" s="114"/>
      <c r="CQ21" s="114"/>
      <c r="CR21" s="114"/>
      <c r="CS21" s="115">
        <f t="shared" si="18"/>
        <v>0</v>
      </c>
      <c r="CT21" s="114"/>
      <c r="CU21" s="114"/>
      <c r="CV21" s="114"/>
      <c r="CW21" s="115">
        <f t="shared" si="19"/>
        <v>0</v>
      </c>
      <c r="CX21" s="114"/>
      <c r="CY21" s="114"/>
      <c r="CZ21" s="114"/>
      <c r="DA21" s="115">
        <f t="shared" si="20"/>
        <v>0</v>
      </c>
      <c r="DB21" s="114"/>
      <c r="DC21" s="114"/>
      <c r="DD21" s="114"/>
      <c r="DE21" s="115">
        <f t="shared" si="21"/>
        <v>0</v>
      </c>
      <c r="DF21" s="5"/>
      <c r="DG21" s="114"/>
      <c r="DH21" s="114"/>
      <c r="DI21" s="115">
        <f t="shared" si="22"/>
        <v>0</v>
      </c>
      <c r="DK21" s="114"/>
      <c r="DL21" s="114"/>
      <c r="DM21" s="115">
        <f t="shared" si="23"/>
        <v>0</v>
      </c>
      <c r="DO21" s="107">
        <f t="shared" si="26"/>
        <v>0</v>
      </c>
      <c r="DP21"/>
      <c r="DQ21" s="129" t="str">
        <f t="shared" si="27"/>
        <v>-</v>
      </c>
      <c r="DR21"/>
      <c r="DS21" s="173" t="str">
        <f>IFERROR(RANK(DQ21,$DQ$6:$DQ$70)&amp;LOOKUP(RANK(DQ21,$DQ$6:$DQ$70),{1,2,3,4;"st","nd","rd","th"}),"-")</f>
        <v>-</v>
      </c>
      <c r="DT21" s="167">
        <f>'FIRST TERM'!DO21</f>
        <v>0</v>
      </c>
      <c r="DU21" s="168">
        <f>'SECOND TERM'!DO21</f>
        <v>0</v>
      </c>
      <c r="DV21" s="158">
        <f t="shared" si="28"/>
        <v>0</v>
      </c>
      <c r="DW21" s="177" t="str">
        <f>RANK(DV21,$DV$6:$DV$70)&amp;LOOKUP(RANK(DV21,$DV$6:$DV$70),{1,2,3,4;"st","nd","rd","th"})</f>
        <v>12th</v>
      </c>
    </row>
    <row r="22" spans="1:127">
      <c r="A22" s="178">
        <v>17</v>
      </c>
      <c r="B22" s="182" t="s">
        <v>134</v>
      </c>
      <c r="C22" s="179"/>
      <c r="D22" s="34"/>
      <c r="E22" s="35"/>
      <c r="F22"/>
      <c r="G22" s="34"/>
      <c r="H22" s="34"/>
      <c r="I22" s="34"/>
      <c r="J22" s="34"/>
      <c r="K22" s="5"/>
      <c r="L22" s="36"/>
      <c r="M22" s="36"/>
      <c r="N22" s="36"/>
      <c r="O22" s="36"/>
      <c r="P22" s="36"/>
      <c r="Q22" s="36"/>
      <c r="R22" s="5"/>
      <c r="S22" s="114"/>
      <c r="T22" s="114"/>
      <c r="U22" s="115">
        <f t="shared" si="24"/>
        <v>0</v>
      </c>
      <c r="V22" s="116"/>
      <c r="W22" s="114"/>
      <c r="X22" s="114"/>
      <c r="Y22" s="115">
        <f t="shared" si="1"/>
        <v>0</v>
      </c>
      <c r="Z22" s="116"/>
      <c r="AA22" s="114"/>
      <c r="AB22" s="114"/>
      <c r="AC22" s="115">
        <f t="shared" si="2"/>
        <v>0</v>
      </c>
      <c r="AD22" s="114"/>
      <c r="AE22" s="114"/>
      <c r="AF22" s="114"/>
      <c r="AG22" s="115">
        <f t="shared" si="3"/>
        <v>0</v>
      </c>
      <c r="AH22" s="116"/>
      <c r="AI22" s="114"/>
      <c r="AJ22" s="114"/>
      <c r="AK22" s="115">
        <f t="shared" si="4"/>
        <v>0</v>
      </c>
      <c r="AL22" s="116"/>
      <c r="AM22" s="114"/>
      <c r="AN22" s="114"/>
      <c r="AO22" s="115">
        <f t="shared" si="5"/>
        <v>0</v>
      </c>
      <c r="AP22" s="116"/>
      <c r="AQ22" s="114"/>
      <c r="AR22" s="114"/>
      <c r="AS22" s="115">
        <f t="shared" si="6"/>
        <v>0</v>
      </c>
      <c r="AT22" s="114"/>
      <c r="AU22" s="114"/>
      <c r="AV22" s="114"/>
      <c r="AW22" s="117">
        <f t="shared" si="25"/>
        <v>0</v>
      </c>
      <c r="AX22" s="114"/>
      <c r="AY22" s="114"/>
      <c r="AZ22" s="114"/>
      <c r="BA22" s="115">
        <f t="shared" si="7"/>
        <v>0</v>
      </c>
      <c r="BB22" s="116"/>
      <c r="BC22" s="114"/>
      <c r="BD22" s="114"/>
      <c r="BE22" s="115">
        <f t="shared" si="8"/>
        <v>0</v>
      </c>
      <c r="BF22" s="114"/>
      <c r="BG22" s="114"/>
      <c r="BH22" s="114"/>
      <c r="BI22" s="115">
        <f t="shared" si="9"/>
        <v>0</v>
      </c>
      <c r="BJ22" s="114"/>
      <c r="BK22" s="114"/>
      <c r="BL22" s="114"/>
      <c r="BM22" s="115">
        <f t="shared" si="10"/>
        <v>0</v>
      </c>
      <c r="BN22" s="114"/>
      <c r="BO22" s="114"/>
      <c r="BP22" s="114"/>
      <c r="BQ22" s="115">
        <f t="shared" si="11"/>
        <v>0</v>
      </c>
      <c r="BR22" s="114"/>
      <c r="BS22" s="114"/>
      <c r="BT22" s="114"/>
      <c r="BU22" s="115">
        <f t="shared" si="12"/>
        <v>0</v>
      </c>
      <c r="BV22" s="114"/>
      <c r="BW22" s="114"/>
      <c r="BX22" s="114"/>
      <c r="BY22" s="115">
        <f t="shared" si="13"/>
        <v>0</v>
      </c>
      <c r="BZ22" s="114"/>
      <c r="CA22" s="114"/>
      <c r="CB22" s="114"/>
      <c r="CC22" s="115">
        <f t="shared" si="14"/>
        <v>0</v>
      </c>
      <c r="CD22" s="5"/>
      <c r="CE22" s="114"/>
      <c r="CF22" s="114"/>
      <c r="CG22" s="115">
        <f t="shared" si="15"/>
        <v>0</v>
      </c>
      <c r="CI22" s="114"/>
      <c r="CJ22" s="114"/>
      <c r="CK22" s="115">
        <f t="shared" si="16"/>
        <v>0</v>
      </c>
      <c r="CM22" s="114"/>
      <c r="CN22" s="114"/>
      <c r="CO22" s="115">
        <f t="shared" si="17"/>
        <v>0</v>
      </c>
      <c r="CP22" s="114"/>
      <c r="CQ22" s="114"/>
      <c r="CR22" s="114"/>
      <c r="CS22" s="115">
        <f t="shared" si="18"/>
        <v>0</v>
      </c>
      <c r="CT22" s="114"/>
      <c r="CU22" s="114"/>
      <c r="CV22" s="114"/>
      <c r="CW22" s="115">
        <f t="shared" si="19"/>
        <v>0</v>
      </c>
      <c r="CX22" s="114"/>
      <c r="CY22" s="114"/>
      <c r="CZ22" s="114"/>
      <c r="DA22" s="115">
        <f t="shared" si="20"/>
        <v>0</v>
      </c>
      <c r="DB22" s="114"/>
      <c r="DC22" s="114"/>
      <c r="DD22" s="114"/>
      <c r="DE22" s="115">
        <f t="shared" si="21"/>
        <v>0</v>
      </c>
      <c r="DF22" s="5"/>
      <c r="DG22" s="114"/>
      <c r="DH22" s="114"/>
      <c r="DI22" s="115">
        <f t="shared" si="22"/>
        <v>0</v>
      </c>
      <c r="DK22" s="114"/>
      <c r="DL22" s="114"/>
      <c r="DM22" s="115">
        <f t="shared" si="23"/>
        <v>0</v>
      </c>
      <c r="DO22" s="107">
        <f t="shared" si="26"/>
        <v>0</v>
      </c>
      <c r="DP22"/>
      <c r="DQ22" s="129" t="str">
        <f t="shared" si="27"/>
        <v>-</v>
      </c>
      <c r="DR22"/>
      <c r="DS22" s="173" t="str">
        <f>IFERROR(RANK(DQ22,$DQ$6:$DQ$70)&amp;LOOKUP(RANK(DQ22,$DQ$6:$DQ$70),{1,2,3,4;"st","nd","rd","th"}),"-")</f>
        <v>-</v>
      </c>
      <c r="DT22" s="167">
        <f>'FIRST TERM'!DO22</f>
        <v>0</v>
      </c>
      <c r="DU22" s="168">
        <f>'SECOND TERM'!DO22</f>
        <v>0</v>
      </c>
      <c r="DV22" s="158">
        <f t="shared" si="28"/>
        <v>0</v>
      </c>
      <c r="DW22" s="177" t="str">
        <f>RANK(DV22,$DV$6:$DV$70)&amp;LOOKUP(RANK(DV22,$DV$6:$DV$70),{1,2,3,4;"st","nd","rd","th"})</f>
        <v>12th</v>
      </c>
    </row>
    <row r="23" spans="1:127">
      <c r="A23" s="178">
        <v>18</v>
      </c>
      <c r="B23" s="182" t="s">
        <v>135</v>
      </c>
      <c r="C23" s="179"/>
      <c r="D23" s="34"/>
      <c r="E23" s="35"/>
      <c r="F23"/>
      <c r="G23" s="34"/>
      <c r="H23" s="34"/>
      <c r="I23" s="34"/>
      <c r="J23" s="34"/>
      <c r="K23" s="5"/>
      <c r="L23" s="36"/>
      <c r="M23" s="36"/>
      <c r="N23" s="36"/>
      <c r="O23" s="36"/>
      <c r="P23" s="36"/>
      <c r="Q23" s="36"/>
      <c r="R23" s="5"/>
      <c r="S23" s="114"/>
      <c r="T23" s="114"/>
      <c r="U23" s="115">
        <f t="shared" si="24"/>
        <v>0</v>
      </c>
      <c r="V23" s="116"/>
      <c r="W23" s="114"/>
      <c r="X23" s="114"/>
      <c r="Y23" s="115">
        <f t="shared" si="1"/>
        <v>0</v>
      </c>
      <c r="Z23" s="116"/>
      <c r="AA23" s="114"/>
      <c r="AB23" s="114"/>
      <c r="AC23" s="115">
        <f t="shared" si="2"/>
        <v>0</v>
      </c>
      <c r="AD23" s="114"/>
      <c r="AE23" s="114"/>
      <c r="AF23" s="114"/>
      <c r="AG23" s="115">
        <f t="shared" si="3"/>
        <v>0</v>
      </c>
      <c r="AH23" s="116"/>
      <c r="AI23" s="114"/>
      <c r="AJ23" s="114"/>
      <c r="AK23" s="115">
        <f t="shared" si="4"/>
        <v>0</v>
      </c>
      <c r="AL23" s="116"/>
      <c r="AM23" s="114"/>
      <c r="AN23" s="114"/>
      <c r="AO23" s="115">
        <f t="shared" si="5"/>
        <v>0</v>
      </c>
      <c r="AP23" s="116"/>
      <c r="AQ23" s="114"/>
      <c r="AR23" s="114"/>
      <c r="AS23" s="115">
        <f t="shared" si="6"/>
        <v>0</v>
      </c>
      <c r="AT23" s="114"/>
      <c r="AU23" s="114"/>
      <c r="AV23" s="114"/>
      <c r="AW23" s="117">
        <f t="shared" si="25"/>
        <v>0</v>
      </c>
      <c r="AX23" s="114"/>
      <c r="AY23" s="114"/>
      <c r="AZ23" s="114"/>
      <c r="BA23" s="115">
        <f t="shared" si="7"/>
        <v>0</v>
      </c>
      <c r="BB23" s="116"/>
      <c r="BC23" s="114"/>
      <c r="BD23" s="114"/>
      <c r="BE23" s="115">
        <f t="shared" si="8"/>
        <v>0</v>
      </c>
      <c r="BF23" s="114"/>
      <c r="BG23" s="114"/>
      <c r="BH23" s="114"/>
      <c r="BI23" s="115">
        <f t="shared" si="9"/>
        <v>0</v>
      </c>
      <c r="BJ23" s="114"/>
      <c r="BK23" s="114"/>
      <c r="BL23" s="114"/>
      <c r="BM23" s="115">
        <f t="shared" si="10"/>
        <v>0</v>
      </c>
      <c r="BN23" s="114"/>
      <c r="BO23" s="114"/>
      <c r="BP23" s="114"/>
      <c r="BQ23" s="115">
        <f t="shared" si="11"/>
        <v>0</v>
      </c>
      <c r="BR23" s="114"/>
      <c r="BS23" s="114"/>
      <c r="BT23" s="114"/>
      <c r="BU23" s="115">
        <f t="shared" si="12"/>
        <v>0</v>
      </c>
      <c r="BV23" s="114"/>
      <c r="BW23" s="114"/>
      <c r="BX23" s="114"/>
      <c r="BY23" s="115">
        <f t="shared" si="13"/>
        <v>0</v>
      </c>
      <c r="BZ23" s="114"/>
      <c r="CA23" s="114"/>
      <c r="CB23" s="114"/>
      <c r="CC23" s="115">
        <f t="shared" si="14"/>
        <v>0</v>
      </c>
      <c r="CD23" s="5"/>
      <c r="CE23" s="114"/>
      <c r="CF23" s="114"/>
      <c r="CG23" s="115">
        <f t="shared" si="15"/>
        <v>0</v>
      </c>
      <c r="CI23" s="114"/>
      <c r="CJ23" s="114"/>
      <c r="CK23" s="115">
        <f t="shared" si="16"/>
        <v>0</v>
      </c>
      <c r="CM23" s="114"/>
      <c r="CN23" s="114"/>
      <c r="CO23" s="115">
        <f t="shared" si="17"/>
        <v>0</v>
      </c>
      <c r="CP23" s="114"/>
      <c r="CQ23" s="114"/>
      <c r="CR23" s="114"/>
      <c r="CS23" s="115">
        <f t="shared" si="18"/>
        <v>0</v>
      </c>
      <c r="CT23" s="114"/>
      <c r="CU23" s="114"/>
      <c r="CV23" s="114"/>
      <c r="CW23" s="115">
        <f t="shared" si="19"/>
        <v>0</v>
      </c>
      <c r="CX23" s="114"/>
      <c r="CY23" s="114"/>
      <c r="CZ23" s="114"/>
      <c r="DA23" s="115">
        <f t="shared" si="20"/>
        <v>0</v>
      </c>
      <c r="DB23" s="114"/>
      <c r="DC23" s="114"/>
      <c r="DD23" s="114"/>
      <c r="DE23" s="115">
        <f t="shared" si="21"/>
        <v>0</v>
      </c>
      <c r="DF23" s="5"/>
      <c r="DG23" s="114"/>
      <c r="DH23" s="114"/>
      <c r="DI23" s="115">
        <f t="shared" si="22"/>
        <v>0</v>
      </c>
      <c r="DK23" s="114"/>
      <c r="DL23" s="114"/>
      <c r="DM23" s="115">
        <f t="shared" si="23"/>
        <v>0</v>
      </c>
      <c r="DO23" s="107">
        <f t="shared" si="26"/>
        <v>0</v>
      </c>
      <c r="DP23"/>
      <c r="DQ23" s="129" t="str">
        <f t="shared" si="27"/>
        <v>-</v>
      </c>
      <c r="DR23"/>
      <c r="DS23" s="173" t="str">
        <f>IFERROR(RANK(DQ23,$DQ$6:$DQ$70)&amp;LOOKUP(RANK(DQ23,$DQ$6:$DQ$70),{1,2,3,4;"st","nd","rd","th"}),"-")</f>
        <v>-</v>
      </c>
      <c r="DT23" s="167">
        <f>'FIRST TERM'!DO23</f>
        <v>0</v>
      </c>
      <c r="DU23" s="168">
        <f>'SECOND TERM'!DO23</f>
        <v>0</v>
      </c>
      <c r="DV23" s="158">
        <f t="shared" si="28"/>
        <v>0</v>
      </c>
      <c r="DW23" s="177" t="str">
        <f>RANK(DV23,$DV$6:$DV$70)&amp;LOOKUP(RANK(DV23,$DV$6:$DV$70),{1,2,3,4;"st","nd","rd","th"})</f>
        <v>12th</v>
      </c>
    </row>
    <row r="24" spans="1:127">
      <c r="A24" s="178">
        <v>19</v>
      </c>
      <c r="B24" s="182" t="s">
        <v>136</v>
      </c>
      <c r="C24" s="179"/>
      <c r="D24" s="34"/>
      <c r="E24" s="35"/>
      <c r="F24"/>
      <c r="G24" s="34"/>
      <c r="H24" s="34"/>
      <c r="I24" s="34"/>
      <c r="J24" s="34"/>
      <c r="K24" s="5"/>
      <c r="L24" s="36"/>
      <c r="M24" s="36"/>
      <c r="N24" s="36"/>
      <c r="O24" s="36"/>
      <c r="P24" s="36"/>
      <c r="Q24" s="36"/>
      <c r="R24" s="5"/>
      <c r="S24" s="114"/>
      <c r="T24" s="114"/>
      <c r="U24" s="115">
        <f t="shared" si="24"/>
        <v>0</v>
      </c>
      <c r="V24" s="116"/>
      <c r="W24" s="114"/>
      <c r="X24" s="114"/>
      <c r="Y24" s="115">
        <f t="shared" si="1"/>
        <v>0</v>
      </c>
      <c r="Z24" s="116"/>
      <c r="AA24" s="114"/>
      <c r="AB24" s="114"/>
      <c r="AC24" s="115">
        <f t="shared" si="2"/>
        <v>0</v>
      </c>
      <c r="AD24" s="114"/>
      <c r="AE24" s="114"/>
      <c r="AF24" s="114"/>
      <c r="AG24" s="115">
        <f t="shared" si="3"/>
        <v>0</v>
      </c>
      <c r="AH24" s="116"/>
      <c r="AI24" s="114"/>
      <c r="AJ24" s="114"/>
      <c r="AK24" s="115">
        <f t="shared" si="4"/>
        <v>0</v>
      </c>
      <c r="AL24" s="116"/>
      <c r="AM24" s="114"/>
      <c r="AN24" s="114"/>
      <c r="AO24" s="115">
        <f t="shared" si="5"/>
        <v>0</v>
      </c>
      <c r="AP24" s="116"/>
      <c r="AQ24" s="114"/>
      <c r="AR24" s="114"/>
      <c r="AS24" s="115">
        <f t="shared" si="6"/>
        <v>0</v>
      </c>
      <c r="AT24" s="114"/>
      <c r="AU24" s="114"/>
      <c r="AV24" s="114"/>
      <c r="AW24" s="117">
        <f t="shared" si="25"/>
        <v>0</v>
      </c>
      <c r="AX24" s="114"/>
      <c r="AY24" s="114"/>
      <c r="AZ24" s="114"/>
      <c r="BA24" s="115">
        <f t="shared" si="7"/>
        <v>0</v>
      </c>
      <c r="BB24" s="116"/>
      <c r="BC24" s="114"/>
      <c r="BD24" s="114"/>
      <c r="BE24" s="115">
        <f t="shared" si="8"/>
        <v>0</v>
      </c>
      <c r="BF24" s="114"/>
      <c r="BG24" s="114"/>
      <c r="BH24" s="114"/>
      <c r="BI24" s="115">
        <f t="shared" si="9"/>
        <v>0</v>
      </c>
      <c r="BJ24" s="114"/>
      <c r="BK24" s="114"/>
      <c r="BL24" s="114"/>
      <c r="BM24" s="115">
        <f t="shared" si="10"/>
        <v>0</v>
      </c>
      <c r="BN24" s="114"/>
      <c r="BO24" s="114"/>
      <c r="BP24" s="114"/>
      <c r="BQ24" s="115">
        <f t="shared" si="11"/>
        <v>0</v>
      </c>
      <c r="BR24" s="114"/>
      <c r="BS24" s="114"/>
      <c r="BT24" s="114"/>
      <c r="BU24" s="115">
        <f t="shared" si="12"/>
        <v>0</v>
      </c>
      <c r="BV24" s="114"/>
      <c r="BW24" s="114"/>
      <c r="BX24" s="114"/>
      <c r="BY24" s="115">
        <f t="shared" si="13"/>
        <v>0</v>
      </c>
      <c r="BZ24" s="114"/>
      <c r="CA24" s="114"/>
      <c r="CB24" s="114"/>
      <c r="CC24" s="115">
        <f t="shared" si="14"/>
        <v>0</v>
      </c>
      <c r="CD24" s="5"/>
      <c r="CE24" s="114"/>
      <c r="CF24" s="114"/>
      <c r="CG24" s="115">
        <f t="shared" si="15"/>
        <v>0</v>
      </c>
      <c r="CI24" s="114"/>
      <c r="CJ24" s="114"/>
      <c r="CK24" s="115">
        <f t="shared" si="16"/>
        <v>0</v>
      </c>
      <c r="CM24" s="114"/>
      <c r="CN24" s="114"/>
      <c r="CO24" s="115">
        <f t="shared" si="17"/>
        <v>0</v>
      </c>
      <c r="CP24" s="114"/>
      <c r="CQ24" s="114"/>
      <c r="CR24" s="114"/>
      <c r="CS24" s="115">
        <f t="shared" si="18"/>
        <v>0</v>
      </c>
      <c r="CT24" s="114"/>
      <c r="CU24" s="114"/>
      <c r="CV24" s="114"/>
      <c r="CW24" s="115">
        <f t="shared" si="19"/>
        <v>0</v>
      </c>
      <c r="CX24" s="114"/>
      <c r="CY24" s="114"/>
      <c r="CZ24" s="114"/>
      <c r="DA24" s="115">
        <f t="shared" si="20"/>
        <v>0</v>
      </c>
      <c r="DB24" s="114"/>
      <c r="DC24" s="114"/>
      <c r="DD24" s="114"/>
      <c r="DE24" s="115">
        <f t="shared" si="21"/>
        <v>0</v>
      </c>
      <c r="DF24" s="5"/>
      <c r="DG24" s="114"/>
      <c r="DH24" s="114"/>
      <c r="DI24" s="115">
        <f t="shared" si="22"/>
        <v>0</v>
      </c>
      <c r="DK24" s="114"/>
      <c r="DL24" s="114"/>
      <c r="DM24" s="115">
        <f t="shared" si="23"/>
        <v>0</v>
      </c>
      <c r="DO24" s="107">
        <f t="shared" si="26"/>
        <v>0</v>
      </c>
      <c r="DP24"/>
      <c r="DQ24" s="129" t="str">
        <f t="shared" si="27"/>
        <v>-</v>
      </c>
      <c r="DR24"/>
      <c r="DS24" s="173" t="str">
        <f>IFERROR(RANK(DQ24,$DQ$6:$DQ$70)&amp;LOOKUP(RANK(DQ24,$DQ$6:$DQ$70),{1,2,3,4;"st","nd","rd","th"}),"-")</f>
        <v>-</v>
      </c>
      <c r="DT24" s="167">
        <f>'FIRST TERM'!DO24</f>
        <v>0</v>
      </c>
      <c r="DU24" s="168">
        <f>'SECOND TERM'!DO24</f>
        <v>0</v>
      </c>
      <c r="DV24" s="158">
        <f t="shared" si="28"/>
        <v>0</v>
      </c>
      <c r="DW24" s="177" t="str">
        <f>RANK(DV24,$DV$6:$DV$70)&amp;LOOKUP(RANK(DV24,$DV$6:$DV$70),{1,2,3,4;"st","nd","rd","th"})</f>
        <v>12th</v>
      </c>
    </row>
    <row r="25" spans="1:127">
      <c r="A25" s="75">
        <v>20</v>
      </c>
      <c r="B25" s="181"/>
      <c r="C25" s="33"/>
      <c r="D25" s="34"/>
      <c r="E25" s="35"/>
      <c r="F25"/>
      <c r="G25" s="34"/>
      <c r="H25" s="34"/>
      <c r="I25" s="34"/>
      <c r="J25" s="34"/>
      <c r="K25" s="5"/>
      <c r="L25" s="36"/>
      <c r="M25" s="36"/>
      <c r="N25" s="36"/>
      <c r="O25" s="36"/>
      <c r="P25" s="36"/>
      <c r="Q25" s="36"/>
      <c r="R25" s="5"/>
      <c r="S25" s="114"/>
      <c r="T25" s="114"/>
      <c r="U25" s="115">
        <f t="shared" si="24"/>
        <v>0</v>
      </c>
      <c r="V25" s="116"/>
      <c r="W25" s="114"/>
      <c r="X25" s="114"/>
      <c r="Y25" s="115">
        <f t="shared" si="1"/>
        <v>0</v>
      </c>
      <c r="Z25" s="116"/>
      <c r="AA25" s="114"/>
      <c r="AB25" s="114"/>
      <c r="AC25" s="115">
        <f t="shared" si="2"/>
        <v>0</v>
      </c>
      <c r="AD25" s="114"/>
      <c r="AE25" s="114"/>
      <c r="AF25" s="114"/>
      <c r="AG25" s="115">
        <f t="shared" si="3"/>
        <v>0</v>
      </c>
      <c r="AH25" s="116"/>
      <c r="AI25" s="114"/>
      <c r="AJ25" s="114"/>
      <c r="AK25" s="115">
        <f t="shared" si="4"/>
        <v>0</v>
      </c>
      <c r="AL25" s="116"/>
      <c r="AM25" s="114"/>
      <c r="AN25" s="114"/>
      <c r="AO25" s="115">
        <f t="shared" si="5"/>
        <v>0</v>
      </c>
      <c r="AP25" s="116"/>
      <c r="AQ25" s="114"/>
      <c r="AR25" s="114"/>
      <c r="AS25" s="115">
        <f t="shared" si="6"/>
        <v>0</v>
      </c>
      <c r="AT25" s="114"/>
      <c r="AU25" s="114"/>
      <c r="AV25" s="114"/>
      <c r="AW25" s="117">
        <f t="shared" si="25"/>
        <v>0</v>
      </c>
      <c r="AX25" s="114"/>
      <c r="AY25" s="114"/>
      <c r="AZ25" s="114"/>
      <c r="BA25" s="115">
        <f t="shared" si="7"/>
        <v>0</v>
      </c>
      <c r="BB25" s="116"/>
      <c r="BC25" s="114"/>
      <c r="BD25" s="114"/>
      <c r="BE25" s="115">
        <f t="shared" si="8"/>
        <v>0</v>
      </c>
      <c r="BF25" s="114"/>
      <c r="BG25" s="114"/>
      <c r="BH25" s="114"/>
      <c r="BI25" s="115">
        <f t="shared" si="9"/>
        <v>0</v>
      </c>
      <c r="BJ25" s="114"/>
      <c r="BK25" s="114"/>
      <c r="BL25" s="114"/>
      <c r="BM25" s="115">
        <f t="shared" si="10"/>
        <v>0</v>
      </c>
      <c r="BN25" s="114"/>
      <c r="BO25" s="114"/>
      <c r="BP25" s="114"/>
      <c r="BQ25" s="115">
        <f t="shared" si="11"/>
        <v>0</v>
      </c>
      <c r="BR25" s="114"/>
      <c r="BS25" s="114"/>
      <c r="BT25" s="114"/>
      <c r="BU25" s="115">
        <f t="shared" si="12"/>
        <v>0</v>
      </c>
      <c r="BV25" s="114"/>
      <c r="BW25" s="114"/>
      <c r="BX25" s="114"/>
      <c r="BY25" s="115">
        <f t="shared" si="13"/>
        <v>0</v>
      </c>
      <c r="BZ25" s="114"/>
      <c r="CA25" s="114"/>
      <c r="CB25" s="114"/>
      <c r="CC25" s="115">
        <f t="shared" si="14"/>
        <v>0</v>
      </c>
      <c r="CD25" s="5"/>
      <c r="CE25" s="114"/>
      <c r="CF25" s="114"/>
      <c r="CG25" s="115">
        <f t="shared" si="15"/>
        <v>0</v>
      </c>
      <c r="CI25" s="114"/>
      <c r="CJ25" s="114"/>
      <c r="CK25" s="115">
        <f t="shared" si="16"/>
        <v>0</v>
      </c>
      <c r="CM25" s="114"/>
      <c r="CN25" s="114"/>
      <c r="CO25" s="115">
        <f t="shared" si="17"/>
        <v>0</v>
      </c>
      <c r="CP25" s="114"/>
      <c r="CQ25" s="114"/>
      <c r="CR25" s="114"/>
      <c r="CS25" s="115">
        <f t="shared" si="18"/>
        <v>0</v>
      </c>
      <c r="CT25" s="114"/>
      <c r="CU25" s="114"/>
      <c r="CV25" s="114"/>
      <c r="CW25" s="115">
        <f t="shared" si="19"/>
        <v>0</v>
      </c>
      <c r="CX25" s="114"/>
      <c r="CY25" s="114"/>
      <c r="CZ25" s="114"/>
      <c r="DA25" s="115">
        <f t="shared" si="20"/>
        <v>0</v>
      </c>
      <c r="DB25" s="114"/>
      <c r="DC25" s="114"/>
      <c r="DD25" s="114"/>
      <c r="DE25" s="115">
        <f t="shared" si="21"/>
        <v>0</v>
      </c>
      <c r="DF25" s="5"/>
      <c r="DG25" s="114"/>
      <c r="DH25" s="114"/>
      <c r="DI25" s="115">
        <f t="shared" si="22"/>
        <v>0</v>
      </c>
      <c r="DK25" s="114"/>
      <c r="DL25" s="114"/>
      <c r="DM25" s="115">
        <f t="shared" si="23"/>
        <v>0</v>
      </c>
      <c r="DO25" s="107">
        <f t="shared" si="26"/>
        <v>0</v>
      </c>
      <c r="DP25"/>
      <c r="DQ25" s="129" t="str">
        <f t="shared" si="27"/>
        <v>-</v>
      </c>
      <c r="DR25"/>
      <c r="DS25" s="173" t="str">
        <f>IFERROR(RANK(DQ25,$DQ$6:$DQ$70)&amp;LOOKUP(RANK(DQ25,$DQ$6:$DQ$70),{1,2,3,4;"st","nd","rd","th"}),"-")</f>
        <v>-</v>
      </c>
      <c r="DT25" s="167">
        <f>'FIRST TERM'!DO25</f>
        <v>0</v>
      </c>
      <c r="DU25" s="168">
        <f>'SECOND TERM'!DO25</f>
        <v>0</v>
      </c>
      <c r="DV25" s="158">
        <f t="shared" si="28"/>
        <v>0</v>
      </c>
      <c r="DW25" s="177" t="str">
        <f>RANK(DV25,$DV$6:$DV$70)&amp;LOOKUP(RANK(DV25,$DV$6:$DV$70),{1,2,3,4;"st","nd","rd","th"})</f>
        <v>12th</v>
      </c>
    </row>
    <row r="26" spans="1:127">
      <c r="A26" s="75">
        <v>21</v>
      </c>
      <c r="B26" s="74"/>
      <c r="C26" s="33"/>
      <c r="D26" s="34"/>
      <c r="E26" s="35"/>
      <c r="F26"/>
      <c r="G26" s="34"/>
      <c r="H26" s="34"/>
      <c r="I26" s="34"/>
      <c r="J26" s="34"/>
      <c r="K26" s="5"/>
      <c r="L26" s="36"/>
      <c r="M26" s="36"/>
      <c r="N26" s="36"/>
      <c r="O26" s="36"/>
      <c r="P26" s="36"/>
      <c r="Q26" s="36"/>
      <c r="R26" s="5"/>
      <c r="S26" s="114"/>
      <c r="T26" s="114"/>
      <c r="U26" s="115">
        <f t="shared" si="24"/>
        <v>0</v>
      </c>
      <c r="V26" s="116"/>
      <c r="W26" s="114"/>
      <c r="X26" s="114"/>
      <c r="Y26" s="115">
        <f t="shared" si="1"/>
        <v>0</v>
      </c>
      <c r="Z26" s="116"/>
      <c r="AA26" s="114"/>
      <c r="AB26" s="114"/>
      <c r="AC26" s="115">
        <f t="shared" si="2"/>
        <v>0</v>
      </c>
      <c r="AD26" s="114"/>
      <c r="AE26" s="114"/>
      <c r="AF26" s="114"/>
      <c r="AG26" s="115">
        <f t="shared" si="3"/>
        <v>0</v>
      </c>
      <c r="AH26" s="116"/>
      <c r="AI26" s="114"/>
      <c r="AJ26" s="114"/>
      <c r="AK26" s="115">
        <f t="shared" si="4"/>
        <v>0</v>
      </c>
      <c r="AL26" s="116"/>
      <c r="AM26" s="114"/>
      <c r="AN26" s="114"/>
      <c r="AO26" s="115">
        <f t="shared" si="5"/>
        <v>0</v>
      </c>
      <c r="AP26" s="116"/>
      <c r="AQ26" s="114"/>
      <c r="AR26" s="114"/>
      <c r="AS26" s="115">
        <f t="shared" si="6"/>
        <v>0</v>
      </c>
      <c r="AT26" s="114"/>
      <c r="AU26" s="114"/>
      <c r="AV26" s="114"/>
      <c r="AW26" s="117">
        <f t="shared" si="25"/>
        <v>0</v>
      </c>
      <c r="AX26" s="114"/>
      <c r="AY26" s="114"/>
      <c r="AZ26" s="114"/>
      <c r="BA26" s="115">
        <f t="shared" si="7"/>
        <v>0</v>
      </c>
      <c r="BB26" s="116"/>
      <c r="BC26" s="114"/>
      <c r="BD26" s="114"/>
      <c r="BE26" s="115">
        <f t="shared" si="8"/>
        <v>0</v>
      </c>
      <c r="BF26" s="114"/>
      <c r="BG26" s="114"/>
      <c r="BH26" s="114"/>
      <c r="BI26" s="115">
        <f t="shared" si="9"/>
        <v>0</v>
      </c>
      <c r="BJ26" s="114"/>
      <c r="BK26" s="114"/>
      <c r="BL26" s="114"/>
      <c r="BM26" s="115">
        <f t="shared" si="10"/>
        <v>0</v>
      </c>
      <c r="BN26" s="114"/>
      <c r="BO26" s="114"/>
      <c r="BP26" s="114"/>
      <c r="BQ26" s="115">
        <f t="shared" si="11"/>
        <v>0</v>
      </c>
      <c r="BR26" s="114"/>
      <c r="BS26" s="114"/>
      <c r="BT26" s="114"/>
      <c r="BU26" s="115">
        <f t="shared" si="12"/>
        <v>0</v>
      </c>
      <c r="BV26" s="114"/>
      <c r="BW26" s="114"/>
      <c r="BX26" s="114"/>
      <c r="BY26" s="115">
        <f t="shared" si="13"/>
        <v>0</v>
      </c>
      <c r="BZ26" s="114"/>
      <c r="CA26" s="114"/>
      <c r="CB26" s="114"/>
      <c r="CC26" s="115">
        <f t="shared" si="14"/>
        <v>0</v>
      </c>
      <c r="CD26" s="5"/>
      <c r="CE26" s="114"/>
      <c r="CF26" s="114"/>
      <c r="CG26" s="115">
        <f t="shared" si="15"/>
        <v>0</v>
      </c>
      <c r="CI26" s="114"/>
      <c r="CJ26" s="114"/>
      <c r="CK26" s="115">
        <f t="shared" si="16"/>
        <v>0</v>
      </c>
      <c r="CM26" s="114"/>
      <c r="CN26" s="114"/>
      <c r="CO26" s="115">
        <f t="shared" si="17"/>
        <v>0</v>
      </c>
      <c r="CP26" s="114"/>
      <c r="CQ26" s="114"/>
      <c r="CR26" s="114"/>
      <c r="CS26" s="115">
        <f t="shared" si="18"/>
        <v>0</v>
      </c>
      <c r="CT26" s="114"/>
      <c r="CU26" s="114"/>
      <c r="CV26" s="114"/>
      <c r="CW26" s="115">
        <f t="shared" si="19"/>
        <v>0</v>
      </c>
      <c r="CX26" s="114"/>
      <c r="CY26" s="114"/>
      <c r="CZ26" s="114"/>
      <c r="DA26" s="115">
        <f t="shared" si="20"/>
        <v>0</v>
      </c>
      <c r="DB26" s="114"/>
      <c r="DC26" s="114"/>
      <c r="DD26" s="114"/>
      <c r="DE26" s="115">
        <f t="shared" si="21"/>
        <v>0</v>
      </c>
      <c r="DF26" s="5"/>
      <c r="DG26" s="114"/>
      <c r="DH26" s="114"/>
      <c r="DI26" s="115">
        <f t="shared" si="22"/>
        <v>0</v>
      </c>
      <c r="DK26" s="114"/>
      <c r="DL26" s="114"/>
      <c r="DM26" s="115">
        <f t="shared" si="23"/>
        <v>0</v>
      </c>
      <c r="DO26" s="107">
        <f t="shared" si="26"/>
        <v>0</v>
      </c>
      <c r="DP26"/>
      <c r="DQ26" s="129" t="str">
        <f t="shared" si="27"/>
        <v>-</v>
      </c>
      <c r="DR26"/>
      <c r="DS26" s="173" t="str">
        <f>IFERROR(RANK(DQ26,$DQ$6:$DQ$70)&amp;LOOKUP(RANK(DQ26,$DQ$6:$DQ$70),{1,2,3,4;"st","nd","rd","th"}),"-")</f>
        <v>-</v>
      </c>
      <c r="DT26" s="167">
        <f>'FIRST TERM'!DO26</f>
        <v>0</v>
      </c>
      <c r="DU26" s="168">
        <f>'SECOND TERM'!DO26</f>
        <v>0</v>
      </c>
      <c r="DV26" s="158">
        <f t="shared" si="28"/>
        <v>0</v>
      </c>
      <c r="DW26" s="177" t="str">
        <f>RANK(DV26,$DV$6:$DV$70)&amp;LOOKUP(RANK(DV26,$DV$6:$DV$70),{1,2,3,4;"st","nd","rd","th"})</f>
        <v>12th</v>
      </c>
    </row>
    <row r="27" spans="1:127">
      <c r="A27" s="75">
        <v>22</v>
      </c>
      <c r="B27" s="74"/>
      <c r="C27" s="33"/>
      <c r="D27" s="34"/>
      <c r="E27" s="35"/>
      <c r="F27"/>
      <c r="G27" s="34"/>
      <c r="H27" s="34"/>
      <c r="I27" s="34"/>
      <c r="J27" s="34"/>
      <c r="K27" s="5"/>
      <c r="L27" s="36"/>
      <c r="M27" s="36"/>
      <c r="N27" s="36"/>
      <c r="O27" s="36"/>
      <c r="P27" s="36"/>
      <c r="Q27" s="36"/>
      <c r="R27" s="5"/>
      <c r="S27" s="114"/>
      <c r="T27" s="114"/>
      <c r="U27" s="115">
        <f t="shared" si="24"/>
        <v>0</v>
      </c>
      <c r="V27" s="116"/>
      <c r="W27" s="114"/>
      <c r="X27" s="114"/>
      <c r="Y27" s="115">
        <f t="shared" si="1"/>
        <v>0</v>
      </c>
      <c r="Z27" s="116"/>
      <c r="AA27" s="114"/>
      <c r="AB27" s="114"/>
      <c r="AC27" s="115">
        <f t="shared" si="2"/>
        <v>0</v>
      </c>
      <c r="AD27" s="114"/>
      <c r="AE27" s="114"/>
      <c r="AF27" s="114"/>
      <c r="AG27" s="115">
        <f t="shared" si="3"/>
        <v>0</v>
      </c>
      <c r="AH27" s="116"/>
      <c r="AI27" s="114"/>
      <c r="AJ27" s="114"/>
      <c r="AK27" s="115">
        <f t="shared" si="4"/>
        <v>0</v>
      </c>
      <c r="AL27" s="116"/>
      <c r="AM27" s="114"/>
      <c r="AN27" s="114"/>
      <c r="AO27" s="115">
        <f t="shared" si="5"/>
        <v>0</v>
      </c>
      <c r="AP27" s="116"/>
      <c r="AQ27" s="114"/>
      <c r="AR27" s="114"/>
      <c r="AS27" s="115">
        <f t="shared" si="6"/>
        <v>0</v>
      </c>
      <c r="AT27" s="114"/>
      <c r="AU27" s="114"/>
      <c r="AV27" s="114"/>
      <c r="AW27" s="117">
        <f t="shared" si="25"/>
        <v>0</v>
      </c>
      <c r="AX27" s="114"/>
      <c r="AY27" s="114"/>
      <c r="AZ27" s="114"/>
      <c r="BA27" s="115">
        <f t="shared" si="7"/>
        <v>0</v>
      </c>
      <c r="BB27" s="116"/>
      <c r="BC27" s="114"/>
      <c r="BD27" s="114"/>
      <c r="BE27" s="115">
        <f t="shared" si="8"/>
        <v>0</v>
      </c>
      <c r="BF27" s="114"/>
      <c r="BG27" s="114"/>
      <c r="BH27" s="114"/>
      <c r="BI27" s="115">
        <f t="shared" si="9"/>
        <v>0</v>
      </c>
      <c r="BJ27" s="114"/>
      <c r="BK27" s="114"/>
      <c r="BL27" s="114"/>
      <c r="BM27" s="115">
        <f t="shared" si="10"/>
        <v>0</v>
      </c>
      <c r="BN27" s="114"/>
      <c r="BO27" s="114"/>
      <c r="BP27" s="114"/>
      <c r="BQ27" s="115">
        <f t="shared" si="11"/>
        <v>0</v>
      </c>
      <c r="BR27" s="114"/>
      <c r="BS27" s="114"/>
      <c r="BT27" s="114"/>
      <c r="BU27" s="115">
        <f t="shared" si="12"/>
        <v>0</v>
      </c>
      <c r="BV27" s="114"/>
      <c r="BW27" s="114"/>
      <c r="BX27" s="114"/>
      <c r="BY27" s="115">
        <f t="shared" si="13"/>
        <v>0</v>
      </c>
      <c r="BZ27" s="114"/>
      <c r="CA27" s="114"/>
      <c r="CB27" s="114"/>
      <c r="CC27" s="115">
        <f t="shared" si="14"/>
        <v>0</v>
      </c>
      <c r="CD27" s="5"/>
      <c r="CE27" s="114"/>
      <c r="CF27" s="114"/>
      <c r="CG27" s="115">
        <f t="shared" si="15"/>
        <v>0</v>
      </c>
      <c r="CI27" s="114"/>
      <c r="CJ27" s="114"/>
      <c r="CK27" s="115">
        <f t="shared" si="16"/>
        <v>0</v>
      </c>
      <c r="CM27" s="114"/>
      <c r="CN27" s="114"/>
      <c r="CO27" s="115">
        <f t="shared" si="17"/>
        <v>0</v>
      </c>
      <c r="CP27" s="114"/>
      <c r="CQ27" s="114"/>
      <c r="CR27" s="114"/>
      <c r="CS27" s="115">
        <f t="shared" si="18"/>
        <v>0</v>
      </c>
      <c r="CT27" s="114"/>
      <c r="CU27" s="114"/>
      <c r="CV27" s="114"/>
      <c r="CW27" s="115">
        <f t="shared" si="19"/>
        <v>0</v>
      </c>
      <c r="CX27" s="114"/>
      <c r="CY27" s="114"/>
      <c r="CZ27" s="114"/>
      <c r="DA27" s="115">
        <f t="shared" si="20"/>
        <v>0</v>
      </c>
      <c r="DB27" s="114"/>
      <c r="DC27" s="114"/>
      <c r="DD27" s="114"/>
      <c r="DE27" s="115">
        <f t="shared" si="21"/>
        <v>0</v>
      </c>
      <c r="DF27" s="5"/>
      <c r="DG27" s="114"/>
      <c r="DH27" s="114"/>
      <c r="DI27" s="115">
        <f t="shared" si="22"/>
        <v>0</v>
      </c>
      <c r="DK27" s="114"/>
      <c r="DL27" s="114"/>
      <c r="DM27" s="115">
        <f t="shared" si="23"/>
        <v>0</v>
      </c>
      <c r="DO27" s="107">
        <f t="shared" si="26"/>
        <v>0</v>
      </c>
      <c r="DP27"/>
      <c r="DQ27" s="129" t="str">
        <f t="shared" si="27"/>
        <v>-</v>
      </c>
      <c r="DR27"/>
      <c r="DS27" s="173" t="str">
        <f>IFERROR(RANK(DQ27,$DQ$6:$DQ$70)&amp;LOOKUP(RANK(DQ27,$DQ$6:$DQ$70),{1,2,3,4;"st","nd","rd","th"}),"-")</f>
        <v>-</v>
      </c>
      <c r="DT27" s="167">
        <f>'FIRST TERM'!DO27</f>
        <v>0</v>
      </c>
      <c r="DU27" s="168">
        <f>'SECOND TERM'!DO27</f>
        <v>0</v>
      </c>
      <c r="DV27" s="158">
        <f t="shared" si="28"/>
        <v>0</v>
      </c>
      <c r="DW27" s="177" t="str">
        <f>RANK(DV27,$DV$6:$DV$70)&amp;LOOKUP(RANK(DV27,$DV$6:$DV$70),{1,2,3,4;"st","nd","rd","th"})</f>
        <v>12th</v>
      </c>
    </row>
    <row r="28" spans="1:127">
      <c r="A28" s="75">
        <v>23</v>
      </c>
      <c r="B28" s="74"/>
      <c r="C28" s="33"/>
      <c r="D28" s="34"/>
      <c r="E28" s="35"/>
      <c r="F28"/>
      <c r="G28" s="34"/>
      <c r="H28" s="34"/>
      <c r="I28" s="34"/>
      <c r="J28" s="34"/>
      <c r="K28" s="5"/>
      <c r="L28" s="36"/>
      <c r="M28" s="36"/>
      <c r="N28" s="36"/>
      <c r="O28" s="36"/>
      <c r="P28" s="36"/>
      <c r="Q28" s="36"/>
      <c r="R28" s="5"/>
      <c r="S28" s="114"/>
      <c r="T28" s="114"/>
      <c r="U28" s="115">
        <f t="shared" si="24"/>
        <v>0</v>
      </c>
      <c r="V28" s="116"/>
      <c r="W28" s="114"/>
      <c r="X28" s="114"/>
      <c r="Y28" s="115">
        <f t="shared" si="1"/>
        <v>0</v>
      </c>
      <c r="Z28" s="116"/>
      <c r="AA28" s="114"/>
      <c r="AB28" s="114"/>
      <c r="AC28" s="115">
        <f t="shared" si="2"/>
        <v>0</v>
      </c>
      <c r="AD28" s="114"/>
      <c r="AE28" s="114"/>
      <c r="AF28" s="114"/>
      <c r="AG28" s="115">
        <f t="shared" si="3"/>
        <v>0</v>
      </c>
      <c r="AH28" s="116"/>
      <c r="AI28" s="114"/>
      <c r="AJ28" s="114"/>
      <c r="AK28" s="115">
        <f t="shared" si="4"/>
        <v>0</v>
      </c>
      <c r="AL28" s="116"/>
      <c r="AM28" s="114"/>
      <c r="AN28" s="114"/>
      <c r="AO28" s="115">
        <f t="shared" si="5"/>
        <v>0</v>
      </c>
      <c r="AP28" s="116"/>
      <c r="AQ28" s="114"/>
      <c r="AR28" s="114"/>
      <c r="AS28" s="115">
        <f t="shared" si="6"/>
        <v>0</v>
      </c>
      <c r="AT28" s="114"/>
      <c r="AU28" s="114"/>
      <c r="AV28" s="114"/>
      <c r="AW28" s="117">
        <f t="shared" si="25"/>
        <v>0</v>
      </c>
      <c r="AX28" s="114"/>
      <c r="AY28" s="114"/>
      <c r="AZ28" s="114"/>
      <c r="BA28" s="115">
        <f t="shared" si="7"/>
        <v>0</v>
      </c>
      <c r="BB28" s="116"/>
      <c r="BC28" s="114"/>
      <c r="BD28" s="114"/>
      <c r="BE28" s="115">
        <f t="shared" si="8"/>
        <v>0</v>
      </c>
      <c r="BF28" s="114"/>
      <c r="BG28" s="114"/>
      <c r="BH28" s="114"/>
      <c r="BI28" s="115">
        <f t="shared" si="9"/>
        <v>0</v>
      </c>
      <c r="BJ28" s="114"/>
      <c r="BK28" s="114"/>
      <c r="BL28" s="114"/>
      <c r="BM28" s="115">
        <f t="shared" si="10"/>
        <v>0</v>
      </c>
      <c r="BN28" s="114"/>
      <c r="BO28" s="114"/>
      <c r="BP28" s="114"/>
      <c r="BQ28" s="115">
        <f t="shared" si="11"/>
        <v>0</v>
      </c>
      <c r="BR28" s="114"/>
      <c r="BS28" s="114"/>
      <c r="BT28" s="114"/>
      <c r="BU28" s="115">
        <f t="shared" si="12"/>
        <v>0</v>
      </c>
      <c r="BV28" s="114"/>
      <c r="BW28" s="114"/>
      <c r="BX28" s="114"/>
      <c r="BY28" s="115">
        <f t="shared" si="13"/>
        <v>0</v>
      </c>
      <c r="BZ28" s="114"/>
      <c r="CA28" s="114"/>
      <c r="CB28" s="114"/>
      <c r="CC28" s="115">
        <f t="shared" si="14"/>
        <v>0</v>
      </c>
      <c r="CD28" s="5"/>
      <c r="CE28" s="114"/>
      <c r="CF28" s="114"/>
      <c r="CG28" s="115">
        <f t="shared" si="15"/>
        <v>0</v>
      </c>
      <c r="CI28" s="114"/>
      <c r="CJ28" s="114"/>
      <c r="CK28" s="115">
        <f t="shared" si="16"/>
        <v>0</v>
      </c>
      <c r="CM28" s="114"/>
      <c r="CN28" s="114"/>
      <c r="CO28" s="115">
        <f t="shared" si="17"/>
        <v>0</v>
      </c>
      <c r="CP28" s="114"/>
      <c r="CQ28" s="114"/>
      <c r="CR28" s="114"/>
      <c r="CS28" s="115">
        <f t="shared" si="18"/>
        <v>0</v>
      </c>
      <c r="CT28" s="114"/>
      <c r="CU28" s="114"/>
      <c r="CV28" s="114"/>
      <c r="CW28" s="115">
        <f t="shared" si="19"/>
        <v>0</v>
      </c>
      <c r="CX28" s="114"/>
      <c r="CY28" s="114"/>
      <c r="CZ28" s="114"/>
      <c r="DA28" s="115">
        <f t="shared" si="20"/>
        <v>0</v>
      </c>
      <c r="DB28" s="114"/>
      <c r="DC28" s="114"/>
      <c r="DD28" s="114"/>
      <c r="DE28" s="115">
        <f t="shared" si="21"/>
        <v>0</v>
      </c>
      <c r="DF28" s="5"/>
      <c r="DG28" s="114"/>
      <c r="DH28" s="114"/>
      <c r="DI28" s="115">
        <f t="shared" si="22"/>
        <v>0</v>
      </c>
      <c r="DK28" s="114"/>
      <c r="DL28" s="114"/>
      <c r="DM28" s="115">
        <f t="shared" si="23"/>
        <v>0</v>
      </c>
      <c r="DO28" s="107">
        <f t="shared" si="26"/>
        <v>0</v>
      </c>
      <c r="DP28"/>
      <c r="DQ28" s="129" t="str">
        <f t="shared" si="27"/>
        <v>-</v>
      </c>
      <c r="DR28"/>
      <c r="DS28" s="173" t="str">
        <f>IFERROR(RANK(DQ28,$DQ$6:$DQ$70)&amp;LOOKUP(RANK(DQ28,$DQ$6:$DQ$70),{1,2,3,4;"st","nd","rd","th"}),"-")</f>
        <v>-</v>
      </c>
      <c r="DT28" s="167">
        <f>'FIRST TERM'!DO28</f>
        <v>0</v>
      </c>
      <c r="DU28" s="168">
        <f>'SECOND TERM'!DO28</f>
        <v>0</v>
      </c>
      <c r="DV28" s="158">
        <f t="shared" si="28"/>
        <v>0</v>
      </c>
      <c r="DW28" s="177" t="str">
        <f>RANK(DV28,$DV$6:$DV$70)&amp;LOOKUP(RANK(DV28,$DV$6:$DV$70),{1,2,3,4;"st","nd","rd","th"})</f>
        <v>12th</v>
      </c>
    </row>
    <row r="29" spans="1:127">
      <c r="A29" s="75">
        <v>24</v>
      </c>
      <c r="B29" s="74"/>
      <c r="C29" s="33"/>
      <c r="D29" s="34"/>
      <c r="E29" s="35"/>
      <c r="F29"/>
      <c r="G29" s="34"/>
      <c r="H29" s="34"/>
      <c r="I29" s="34"/>
      <c r="J29" s="34"/>
      <c r="K29" s="5"/>
      <c r="L29" s="36"/>
      <c r="M29" s="36"/>
      <c r="N29" s="36"/>
      <c r="O29" s="36"/>
      <c r="P29" s="36"/>
      <c r="Q29" s="36"/>
      <c r="R29" s="5"/>
      <c r="S29" s="114"/>
      <c r="T29" s="114"/>
      <c r="U29" s="115">
        <f t="shared" si="24"/>
        <v>0</v>
      </c>
      <c r="V29" s="116"/>
      <c r="W29" s="114"/>
      <c r="X29" s="114"/>
      <c r="Y29" s="115">
        <f t="shared" si="1"/>
        <v>0</v>
      </c>
      <c r="Z29" s="116"/>
      <c r="AA29" s="114"/>
      <c r="AB29" s="114"/>
      <c r="AC29" s="115">
        <f t="shared" si="2"/>
        <v>0</v>
      </c>
      <c r="AD29" s="114"/>
      <c r="AE29" s="114"/>
      <c r="AF29" s="114"/>
      <c r="AG29" s="115">
        <f t="shared" si="3"/>
        <v>0</v>
      </c>
      <c r="AH29" s="116"/>
      <c r="AI29" s="114"/>
      <c r="AJ29" s="114"/>
      <c r="AK29" s="115">
        <f t="shared" si="4"/>
        <v>0</v>
      </c>
      <c r="AL29" s="116"/>
      <c r="AM29" s="114"/>
      <c r="AN29" s="114"/>
      <c r="AO29" s="115">
        <f t="shared" si="5"/>
        <v>0</v>
      </c>
      <c r="AP29" s="116"/>
      <c r="AQ29" s="114"/>
      <c r="AR29" s="114"/>
      <c r="AS29" s="115">
        <f t="shared" si="6"/>
        <v>0</v>
      </c>
      <c r="AT29" s="114"/>
      <c r="AU29" s="114"/>
      <c r="AV29" s="114"/>
      <c r="AW29" s="117">
        <f t="shared" si="25"/>
        <v>0</v>
      </c>
      <c r="AX29" s="114"/>
      <c r="AY29" s="114"/>
      <c r="AZ29" s="114"/>
      <c r="BA29" s="115">
        <f t="shared" si="7"/>
        <v>0</v>
      </c>
      <c r="BB29" s="116"/>
      <c r="BC29" s="114"/>
      <c r="BD29" s="114"/>
      <c r="BE29" s="115">
        <f t="shared" si="8"/>
        <v>0</v>
      </c>
      <c r="BF29" s="114"/>
      <c r="BG29" s="114"/>
      <c r="BH29" s="114"/>
      <c r="BI29" s="115">
        <f t="shared" si="9"/>
        <v>0</v>
      </c>
      <c r="BJ29" s="114"/>
      <c r="BK29" s="114"/>
      <c r="BL29" s="114"/>
      <c r="BM29" s="115">
        <f t="shared" si="10"/>
        <v>0</v>
      </c>
      <c r="BN29" s="114"/>
      <c r="BO29" s="114"/>
      <c r="BP29" s="114"/>
      <c r="BQ29" s="115">
        <f t="shared" si="11"/>
        <v>0</v>
      </c>
      <c r="BR29" s="114"/>
      <c r="BS29" s="114"/>
      <c r="BT29" s="114"/>
      <c r="BU29" s="115">
        <f t="shared" si="12"/>
        <v>0</v>
      </c>
      <c r="BV29" s="114"/>
      <c r="BW29" s="114"/>
      <c r="BX29" s="114"/>
      <c r="BY29" s="115">
        <f t="shared" si="13"/>
        <v>0</v>
      </c>
      <c r="BZ29" s="114"/>
      <c r="CA29" s="114"/>
      <c r="CB29" s="114"/>
      <c r="CC29" s="115">
        <f t="shared" si="14"/>
        <v>0</v>
      </c>
      <c r="CD29" s="5"/>
      <c r="CE29" s="114"/>
      <c r="CF29" s="114"/>
      <c r="CG29" s="115">
        <f t="shared" si="15"/>
        <v>0</v>
      </c>
      <c r="CI29" s="114"/>
      <c r="CJ29" s="114"/>
      <c r="CK29" s="115">
        <f t="shared" si="16"/>
        <v>0</v>
      </c>
      <c r="CM29" s="114"/>
      <c r="CN29" s="114"/>
      <c r="CO29" s="115">
        <f t="shared" si="17"/>
        <v>0</v>
      </c>
      <c r="CP29" s="114"/>
      <c r="CQ29" s="114"/>
      <c r="CR29" s="114"/>
      <c r="CS29" s="115">
        <f t="shared" si="18"/>
        <v>0</v>
      </c>
      <c r="CT29" s="114"/>
      <c r="CU29" s="114"/>
      <c r="CV29" s="114"/>
      <c r="CW29" s="115">
        <f t="shared" si="19"/>
        <v>0</v>
      </c>
      <c r="CX29" s="114"/>
      <c r="CY29" s="114"/>
      <c r="CZ29" s="114"/>
      <c r="DA29" s="115">
        <f t="shared" si="20"/>
        <v>0</v>
      </c>
      <c r="DB29" s="114"/>
      <c r="DC29" s="114"/>
      <c r="DD29" s="114"/>
      <c r="DE29" s="115">
        <f t="shared" si="21"/>
        <v>0</v>
      </c>
      <c r="DF29" s="5"/>
      <c r="DG29" s="114"/>
      <c r="DH29" s="114"/>
      <c r="DI29" s="115">
        <f t="shared" si="22"/>
        <v>0</v>
      </c>
      <c r="DK29" s="114"/>
      <c r="DL29" s="114"/>
      <c r="DM29" s="115">
        <f t="shared" si="23"/>
        <v>0</v>
      </c>
      <c r="DO29" s="107">
        <f t="shared" si="26"/>
        <v>0</v>
      </c>
      <c r="DP29"/>
      <c r="DQ29" s="129" t="str">
        <f t="shared" si="27"/>
        <v>-</v>
      </c>
      <c r="DR29"/>
      <c r="DS29" s="173" t="str">
        <f>IFERROR(RANK(DQ29,$DQ$6:$DQ$70)&amp;LOOKUP(RANK(DQ29,$DQ$6:$DQ$70),{1,2,3,4;"st","nd","rd","th"}),"-")</f>
        <v>-</v>
      </c>
      <c r="DT29" s="167">
        <f>'FIRST TERM'!DO29</f>
        <v>0</v>
      </c>
      <c r="DU29" s="168">
        <f>'SECOND TERM'!DO29</f>
        <v>0</v>
      </c>
      <c r="DV29" s="158">
        <f t="shared" si="28"/>
        <v>0</v>
      </c>
      <c r="DW29" s="177" t="str">
        <f>RANK(DV29,$DV$6:$DV$70)&amp;LOOKUP(RANK(DV29,$DV$6:$DV$70),{1,2,3,4;"st","nd","rd","th"})</f>
        <v>12th</v>
      </c>
    </row>
    <row r="30" spans="1:127">
      <c r="A30" s="75">
        <v>25</v>
      </c>
      <c r="B30" s="74"/>
      <c r="C30" s="33"/>
      <c r="D30" s="34"/>
      <c r="E30" s="35"/>
      <c r="F30"/>
      <c r="G30" s="34"/>
      <c r="H30" s="34"/>
      <c r="I30" s="34"/>
      <c r="J30" s="34"/>
      <c r="K30" s="5"/>
      <c r="L30" s="36"/>
      <c r="M30" s="36"/>
      <c r="N30" s="36"/>
      <c r="O30" s="36"/>
      <c r="P30" s="36"/>
      <c r="Q30" s="36"/>
      <c r="R30" s="5"/>
      <c r="S30" s="114"/>
      <c r="T30" s="114"/>
      <c r="U30" s="115">
        <f t="shared" si="24"/>
        <v>0</v>
      </c>
      <c r="V30" s="116"/>
      <c r="W30" s="114"/>
      <c r="X30" s="114"/>
      <c r="Y30" s="115">
        <f t="shared" si="1"/>
        <v>0</v>
      </c>
      <c r="Z30" s="116"/>
      <c r="AA30" s="114"/>
      <c r="AB30" s="114"/>
      <c r="AC30" s="115">
        <f t="shared" si="2"/>
        <v>0</v>
      </c>
      <c r="AD30" s="114"/>
      <c r="AE30" s="114"/>
      <c r="AF30" s="114"/>
      <c r="AG30" s="115">
        <f t="shared" si="3"/>
        <v>0</v>
      </c>
      <c r="AH30" s="116"/>
      <c r="AI30" s="114"/>
      <c r="AJ30" s="114"/>
      <c r="AK30" s="115">
        <f t="shared" si="4"/>
        <v>0</v>
      </c>
      <c r="AL30" s="116"/>
      <c r="AM30" s="114"/>
      <c r="AN30" s="114"/>
      <c r="AO30" s="115">
        <f t="shared" si="5"/>
        <v>0</v>
      </c>
      <c r="AP30" s="116"/>
      <c r="AQ30" s="114"/>
      <c r="AR30" s="114"/>
      <c r="AS30" s="115">
        <f t="shared" si="6"/>
        <v>0</v>
      </c>
      <c r="AT30" s="114"/>
      <c r="AU30" s="114"/>
      <c r="AV30" s="114"/>
      <c r="AW30" s="117">
        <f t="shared" si="25"/>
        <v>0</v>
      </c>
      <c r="AX30" s="114"/>
      <c r="AY30" s="114"/>
      <c r="AZ30" s="114"/>
      <c r="BA30" s="115">
        <f t="shared" si="7"/>
        <v>0</v>
      </c>
      <c r="BB30" s="116"/>
      <c r="BC30" s="114"/>
      <c r="BD30" s="114"/>
      <c r="BE30" s="115">
        <f t="shared" si="8"/>
        <v>0</v>
      </c>
      <c r="BF30" s="114"/>
      <c r="BG30" s="114"/>
      <c r="BH30" s="114"/>
      <c r="BI30" s="115">
        <f t="shared" si="9"/>
        <v>0</v>
      </c>
      <c r="BJ30" s="114"/>
      <c r="BK30" s="114"/>
      <c r="BL30" s="114"/>
      <c r="BM30" s="115">
        <f t="shared" si="10"/>
        <v>0</v>
      </c>
      <c r="BN30" s="114"/>
      <c r="BO30" s="114"/>
      <c r="BP30" s="114"/>
      <c r="BQ30" s="115">
        <f t="shared" si="11"/>
        <v>0</v>
      </c>
      <c r="BR30" s="114"/>
      <c r="BS30" s="114"/>
      <c r="BT30" s="114"/>
      <c r="BU30" s="115">
        <f t="shared" si="12"/>
        <v>0</v>
      </c>
      <c r="BV30" s="114"/>
      <c r="BW30" s="114"/>
      <c r="BX30" s="114"/>
      <c r="BY30" s="115">
        <f t="shared" si="13"/>
        <v>0</v>
      </c>
      <c r="BZ30" s="114"/>
      <c r="CA30" s="114"/>
      <c r="CB30" s="114"/>
      <c r="CC30" s="115">
        <f t="shared" si="14"/>
        <v>0</v>
      </c>
      <c r="CD30" s="5"/>
      <c r="CE30" s="114"/>
      <c r="CF30" s="114"/>
      <c r="CG30" s="115">
        <f t="shared" si="15"/>
        <v>0</v>
      </c>
      <c r="CI30" s="114"/>
      <c r="CJ30" s="114"/>
      <c r="CK30" s="115">
        <f t="shared" si="16"/>
        <v>0</v>
      </c>
      <c r="CM30" s="114"/>
      <c r="CN30" s="114"/>
      <c r="CO30" s="115">
        <f t="shared" si="17"/>
        <v>0</v>
      </c>
      <c r="CP30" s="114"/>
      <c r="CQ30" s="114"/>
      <c r="CR30" s="114"/>
      <c r="CS30" s="115">
        <f t="shared" si="18"/>
        <v>0</v>
      </c>
      <c r="CT30" s="114"/>
      <c r="CU30" s="114"/>
      <c r="CV30" s="114"/>
      <c r="CW30" s="115">
        <f t="shared" si="19"/>
        <v>0</v>
      </c>
      <c r="CX30" s="114"/>
      <c r="CY30" s="114"/>
      <c r="CZ30" s="114"/>
      <c r="DA30" s="115">
        <f t="shared" si="20"/>
        <v>0</v>
      </c>
      <c r="DB30" s="114"/>
      <c r="DC30" s="114"/>
      <c r="DD30" s="114"/>
      <c r="DE30" s="115">
        <f t="shared" si="21"/>
        <v>0</v>
      </c>
      <c r="DF30" s="5"/>
      <c r="DG30" s="114"/>
      <c r="DH30" s="114"/>
      <c r="DI30" s="115">
        <f t="shared" si="22"/>
        <v>0</v>
      </c>
      <c r="DK30" s="114"/>
      <c r="DL30" s="114"/>
      <c r="DM30" s="115">
        <f t="shared" si="23"/>
        <v>0</v>
      </c>
      <c r="DO30" s="107">
        <f t="shared" si="26"/>
        <v>0</v>
      </c>
      <c r="DP30"/>
      <c r="DQ30" s="129" t="str">
        <f t="shared" si="27"/>
        <v>-</v>
      </c>
      <c r="DR30"/>
      <c r="DS30" s="173" t="str">
        <f>IFERROR(RANK(DQ30,$DQ$6:$DQ$70)&amp;LOOKUP(RANK(DQ30,$DQ$6:$DQ$70),{1,2,3,4;"st","nd","rd","th"}),"-")</f>
        <v>-</v>
      </c>
      <c r="DT30" s="167">
        <f>'FIRST TERM'!DO30</f>
        <v>0</v>
      </c>
      <c r="DU30" s="168">
        <f>'SECOND TERM'!DO30</f>
        <v>0</v>
      </c>
      <c r="DV30" s="158">
        <f t="shared" si="28"/>
        <v>0</v>
      </c>
      <c r="DW30" s="177" t="str">
        <f>RANK(DV30,$DV$6:$DV$70)&amp;LOOKUP(RANK(DV30,$DV$6:$DV$70),{1,2,3,4;"st","nd","rd","th"})</f>
        <v>12th</v>
      </c>
    </row>
    <row r="31" spans="1:127">
      <c r="A31" s="75">
        <v>26</v>
      </c>
      <c r="B31" s="74"/>
      <c r="C31" s="33"/>
      <c r="D31" s="34"/>
      <c r="E31" s="35"/>
      <c r="F31"/>
      <c r="G31" s="34"/>
      <c r="H31" s="34"/>
      <c r="I31" s="34"/>
      <c r="J31" s="34"/>
      <c r="K31" s="5"/>
      <c r="L31" s="36"/>
      <c r="M31" s="36"/>
      <c r="N31" s="36"/>
      <c r="O31" s="36"/>
      <c r="P31" s="36"/>
      <c r="Q31" s="36"/>
      <c r="R31" s="5"/>
      <c r="S31" s="114"/>
      <c r="T31" s="114"/>
      <c r="U31" s="115">
        <f t="shared" si="24"/>
        <v>0</v>
      </c>
      <c r="V31" s="116"/>
      <c r="W31" s="114"/>
      <c r="X31" s="114"/>
      <c r="Y31" s="115">
        <f t="shared" si="1"/>
        <v>0</v>
      </c>
      <c r="Z31" s="116"/>
      <c r="AA31" s="114"/>
      <c r="AB31" s="114"/>
      <c r="AC31" s="115">
        <f t="shared" si="2"/>
        <v>0</v>
      </c>
      <c r="AD31" s="114"/>
      <c r="AE31" s="114"/>
      <c r="AF31" s="114"/>
      <c r="AG31" s="115">
        <f t="shared" si="3"/>
        <v>0</v>
      </c>
      <c r="AH31" s="116"/>
      <c r="AI31" s="114"/>
      <c r="AJ31" s="114"/>
      <c r="AK31" s="115">
        <f t="shared" si="4"/>
        <v>0</v>
      </c>
      <c r="AL31" s="116"/>
      <c r="AM31" s="114"/>
      <c r="AN31" s="114"/>
      <c r="AO31" s="115">
        <f t="shared" si="5"/>
        <v>0</v>
      </c>
      <c r="AP31" s="116"/>
      <c r="AQ31" s="114"/>
      <c r="AR31" s="114"/>
      <c r="AS31" s="115">
        <f t="shared" si="6"/>
        <v>0</v>
      </c>
      <c r="AT31" s="114"/>
      <c r="AU31" s="114"/>
      <c r="AV31" s="114"/>
      <c r="AW31" s="117">
        <f t="shared" si="25"/>
        <v>0</v>
      </c>
      <c r="AX31" s="114"/>
      <c r="AY31" s="114"/>
      <c r="AZ31" s="114"/>
      <c r="BA31" s="115">
        <f t="shared" si="7"/>
        <v>0</v>
      </c>
      <c r="BB31" s="116"/>
      <c r="BC31" s="114"/>
      <c r="BD31" s="114"/>
      <c r="BE31" s="115">
        <f t="shared" si="8"/>
        <v>0</v>
      </c>
      <c r="BF31" s="114"/>
      <c r="BG31" s="114"/>
      <c r="BH31" s="114"/>
      <c r="BI31" s="115">
        <f t="shared" si="9"/>
        <v>0</v>
      </c>
      <c r="BJ31" s="114"/>
      <c r="BK31" s="114"/>
      <c r="BL31" s="114"/>
      <c r="BM31" s="115">
        <f t="shared" si="10"/>
        <v>0</v>
      </c>
      <c r="BN31" s="114"/>
      <c r="BO31" s="114"/>
      <c r="BP31" s="114"/>
      <c r="BQ31" s="115">
        <f t="shared" si="11"/>
        <v>0</v>
      </c>
      <c r="BR31" s="114"/>
      <c r="BS31" s="114"/>
      <c r="BT31" s="114"/>
      <c r="BU31" s="115">
        <f t="shared" si="12"/>
        <v>0</v>
      </c>
      <c r="BV31" s="114"/>
      <c r="BW31" s="114"/>
      <c r="BX31" s="114"/>
      <c r="BY31" s="115">
        <f t="shared" si="13"/>
        <v>0</v>
      </c>
      <c r="BZ31" s="114"/>
      <c r="CA31" s="114"/>
      <c r="CB31" s="114"/>
      <c r="CC31" s="115">
        <f t="shared" si="14"/>
        <v>0</v>
      </c>
      <c r="CD31" s="5"/>
      <c r="CE31" s="114"/>
      <c r="CF31" s="114"/>
      <c r="CG31" s="115">
        <f t="shared" si="15"/>
        <v>0</v>
      </c>
      <c r="CI31" s="114"/>
      <c r="CJ31" s="114"/>
      <c r="CK31" s="115">
        <f t="shared" si="16"/>
        <v>0</v>
      </c>
      <c r="CM31" s="114"/>
      <c r="CN31" s="114"/>
      <c r="CO31" s="115">
        <f t="shared" si="17"/>
        <v>0</v>
      </c>
      <c r="CP31" s="114"/>
      <c r="CQ31" s="114"/>
      <c r="CR31" s="114"/>
      <c r="CS31" s="115">
        <f t="shared" si="18"/>
        <v>0</v>
      </c>
      <c r="CT31" s="114"/>
      <c r="CU31" s="114"/>
      <c r="CV31" s="114"/>
      <c r="CW31" s="115">
        <f t="shared" si="19"/>
        <v>0</v>
      </c>
      <c r="CX31" s="114"/>
      <c r="CY31" s="114"/>
      <c r="CZ31" s="114"/>
      <c r="DA31" s="115">
        <f t="shared" si="20"/>
        <v>0</v>
      </c>
      <c r="DB31" s="114"/>
      <c r="DC31" s="114"/>
      <c r="DD31" s="114"/>
      <c r="DE31" s="115">
        <f t="shared" si="21"/>
        <v>0</v>
      </c>
      <c r="DF31" s="5"/>
      <c r="DG31" s="114"/>
      <c r="DH31" s="114"/>
      <c r="DI31" s="115">
        <f t="shared" si="22"/>
        <v>0</v>
      </c>
      <c r="DK31" s="114"/>
      <c r="DL31" s="114"/>
      <c r="DM31" s="115">
        <f t="shared" si="23"/>
        <v>0</v>
      </c>
      <c r="DO31" s="107">
        <f t="shared" si="26"/>
        <v>0</v>
      </c>
      <c r="DP31"/>
      <c r="DQ31" s="129" t="str">
        <f t="shared" si="27"/>
        <v>-</v>
      </c>
      <c r="DR31"/>
      <c r="DS31" s="173" t="str">
        <f>IFERROR(RANK(DQ31,$DQ$6:$DQ$70)&amp;LOOKUP(RANK(DQ31,$DQ$6:$DQ$70),{1,2,3,4;"st","nd","rd","th"}),"-")</f>
        <v>-</v>
      </c>
      <c r="DT31" s="167">
        <f>'FIRST TERM'!DO31</f>
        <v>0</v>
      </c>
      <c r="DU31" s="168">
        <f>'SECOND TERM'!DO31</f>
        <v>0</v>
      </c>
      <c r="DV31" s="158">
        <f t="shared" si="28"/>
        <v>0</v>
      </c>
      <c r="DW31" s="177" t="str">
        <f>RANK(DV31,$DV$6:$DV$70)&amp;LOOKUP(RANK(DV31,$DV$6:$DV$70),{1,2,3,4;"st","nd","rd","th"})</f>
        <v>12th</v>
      </c>
    </row>
    <row r="32" spans="1:127">
      <c r="A32" s="75">
        <v>27</v>
      </c>
      <c r="B32" s="74"/>
      <c r="C32" s="33"/>
      <c r="D32" s="34"/>
      <c r="E32" s="35"/>
      <c r="F32"/>
      <c r="G32" s="34"/>
      <c r="H32" s="34"/>
      <c r="I32" s="34"/>
      <c r="J32" s="34"/>
      <c r="K32" s="5"/>
      <c r="L32" s="36"/>
      <c r="M32" s="36"/>
      <c r="N32" s="36"/>
      <c r="O32" s="36"/>
      <c r="P32" s="36"/>
      <c r="Q32" s="36"/>
      <c r="R32" s="5"/>
      <c r="S32" s="114"/>
      <c r="T32" s="114"/>
      <c r="U32" s="115">
        <f t="shared" si="24"/>
        <v>0</v>
      </c>
      <c r="V32" s="116"/>
      <c r="W32" s="114"/>
      <c r="X32" s="114"/>
      <c r="Y32" s="115">
        <f t="shared" si="1"/>
        <v>0</v>
      </c>
      <c r="Z32" s="116"/>
      <c r="AA32" s="114"/>
      <c r="AB32" s="114"/>
      <c r="AC32" s="115">
        <f t="shared" si="2"/>
        <v>0</v>
      </c>
      <c r="AD32" s="114"/>
      <c r="AE32" s="114"/>
      <c r="AF32" s="114"/>
      <c r="AG32" s="115">
        <f t="shared" si="3"/>
        <v>0</v>
      </c>
      <c r="AH32" s="116"/>
      <c r="AI32" s="114"/>
      <c r="AJ32" s="114"/>
      <c r="AK32" s="115">
        <f t="shared" si="4"/>
        <v>0</v>
      </c>
      <c r="AL32" s="116"/>
      <c r="AM32" s="114"/>
      <c r="AN32" s="114"/>
      <c r="AO32" s="115">
        <f t="shared" si="5"/>
        <v>0</v>
      </c>
      <c r="AP32" s="116"/>
      <c r="AQ32" s="114"/>
      <c r="AR32" s="114"/>
      <c r="AS32" s="115">
        <f t="shared" si="6"/>
        <v>0</v>
      </c>
      <c r="AT32" s="114"/>
      <c r="AU32" s="114"/>
      <c r="AV32" s="114"/>
      <c r="AW32" s="117">
        <f t="shared" si="25"/>
        <v>0</v>
      </c>
      <c r="AX32" s="114"/>
      <c r="AY32" s="114"/>
      <c r="AZ32" s="114"/>
      <c r="BA32" s="115">
        <f t="shared" si="7"/>
        <v>0</v>
      </c>
      <c r="BB32" s="116"/>
      <c r="BC32" s="114"/>
      <c r="BD32" s="114"/>
      <c r="BE32" s="115">
        <f t="shared" si="8"/>
        <v>0</v>
      </c>
      <c r="BF32" s="114"/>
      <c r="BG32" s="114"/>
      <c r="BH32" s="114"/>
      <c r="BI32" s="115">
        <f t="shared" si="9"/>
        <v>0</v>
      </c>
      <c r="BJ32" s="114"/>
      <c r="BK32" s="114"/>
      <c r="BL32" s="114"/>
      <c r="BM32" s="115">
        <f t="shared" si="10"/>
        <v>0</v>
      </c>
      <c r="BN32" s="114"/>
      <c r="BO32" s="114"/>
      <c r="BP32" s="114"/>
      <c r="BQ32" s="115">
        <f t="shared" si="11"/>
        <v>0</v>
      </c>
      <c r="BR32" s="114"/>
      <c r="BS32" s="114"/>
      <c r="BT32" s="114"/>
      <c r="BU32" s="115">
        <f t="shared" si="12"/>
        <v>0</v>
      </c>
      <c r="BV32" s="114"/>
      <c r="BW32" s="114"/>
      <c r="BX32" s="114"/>
      <c r="BY32" s="115">
        <f t="shared" si="13"/>
        <v>0</v>
      </c>
      <c r="BZ32" s="114"/>
      <c r="CA32" s="114"/>
      <c r="CB32" s="114"/>
      <c r="CC32" s="115">
        <f t="shared" si="14"/>
        <v>0</v>
      </c>
      <c r="CD32" s="5"/>
      <c r="CE32" s="114"/>
      <c r="CF32" s="114"/>
      <c r="CG32" s="115">
        <f t="shared" si="15"/>
        <v>0</v>
      </c>
      <c r="CI32" s="114"/>
      <c r="CJ32" s="114"/>
      <c r="CK32" s="115">
        <f t="shared" si="16"/>
        <v>0</v>
      </c>
      <c r="CM32" s="114"/>
      <c r="CN32" s="114"/>
      <c r="CO32" s="115">
        <f t="shared" si="17"/>
        <v>0</v>
      </c>
      <c r="CP32" s="114"/>
      <c r="CQ32" s="114"/>
      <c r="CR32" s="114"/>
      <c r="CS32" s="115">
        <f t="shared" si="18"/>
        <v>0</v>
      </c>
      <c r="CT32" s="114"/>
      <c r="CU32" s="114"/>
      <c r="CV32" s="114"/>
      <c r="CW32" s="115">
        <f t="shared" si="19"/>
        <v>0</v>
      </c>
      <c r="CX32" s="114"/>
      <c r="CY32" s="114"/>
      <c r="CZ32" s="114"/>
      <c r="DA32" s="115">
        <f t="shared" si="20"/>
        <v>0</v>
      </c>
      <c r="DB32" s="114"/>
      <c r="DC32" s="114"/>
      <c r="DD32" s="114"/>
      <c r="DE32" s="115">
        <f t="shared" si="21"/>
        <v>0</v>
      </c>
      <c r="DF32" s="5"/>
      <c r="DG32" s="114"/>
      <c r="DH32" s="114"/>
      <c r="DI32" s="115">
        <f t="shared" si="22"/>
        <v>0</v>
      </c>
      <c r="DK32" s="114"/>
      <c r="DL32" s="114"/>
      <c r="DM32" s="115">
        <f t="shared" si="23"/>
        <v>0</v>
      </c>
      <c r="DO32" s="107">
        <f t="shared" si="26"/>
        <v>0</v>
      </c>
      <c r="DP32"/>
      <c r="DQ32" s="129" t="str">
        <f t="shared" si="27"/>
        <v>-</v>
      </c>
      <c r="DR32"/>
      <c r="DS32" s="173" t="str">
        <f>IFERROR(RANK(DQ32,$DQ$6:$DQ$70)&amp;LOOKUP(RANK(DQ32,$DQ$6:$DQ$70),{1,2,3,4;"st","nd","rd","th"}),"-")</f>
        <v>-</v>
      </c>
      <c r="DT32" s="167">
        <f>'FIRST TERM'!DO32</f>
        <v>0</v>
      </c>
      <c r="DU32" s="168">
        <f>'SECOND TERM'!DO32</f>
        <v>0</v>
      </c>
      <c r="DV32" s="158">
        <f t="shared" si="28"/>
        <v>0</v>
      </c>
      <c r="DW32" s="177" t="str">
        <f>RANK(DV32,$DV$6:$DV$70)&amp;LOOKUP(RANK(DV32,$DV$6:$DV$70),{1,2,3,4;"st","nd","rd","th"})</f>
        <v>12th</v>
      </c>
    </row>
    <row r="33" spans="1:127">
      <c r="A33" s="75">
        <v>28</v>
      </c>
      <c r="B33" s="74"/>
      <c r="C33" s="33"/>
      <c r="D33" s="34"/>
      <c r="E33" s="35"/>
      <c r="F33"/>
      <c r="G33" s="34"/>
      <c r="H33" s="34"/>
      <c r="I33" s="34"/>
      <c r="J33" s="34"/>
      <c r="K33" s="5"/>
      <c r="L33" s="36"/>
      <c r="M33" s="36"/>
      <c r="N33" s="36"/>
      <c r="O33" s="36"/>
      <c r="P33" s="36"/>
      <c r="Q33" s="36"/>
      <c r="R33" s="5"/>
      <c r="S33" s="114"/>
      <c r="T33" s="114"/>
      <c r="U33" s="115">
        <f t="shared" si="24"/>
        <v>0</v>
      </c>
      <c r="V33" s="116"/>
      <c r="W33" s="114"/>
      <c r="X33" s="114"/>
      <c r="Y33" s="115">
        <f t="shared" si="1"/>
        <v>0</v>
      </c>
      <c r="Z33" s="116"/>
      <c r="AA33" s="114"/>
      <c r="AB33" s="114"/>
      <c r="AC33" s="115">
        <f t="shared" si="2"/>
        <v>0</v>
      </c>
      <c r="AD33" s="114"/>
      <c r="AE33" s="114"/>
      <c r="AF33" s="114"/>
      <c r="AG33" s="115">
        <f t="shared" si="3"/>
        <v>0</v>
      </c>
      <c r="AH33" s="116"/>
      <c r="AI33" s="114"/>
      <c r="AJ33" s="114"/>
      <c r="AK33" s="115">
        <f t="shared" si="4"/>
        <v>0</v>
      </c>
      <c r="AL33" s="116"/>
      <c r="AM33" s="114"/>
      <c r="AN33" s="114"/>
      <c r="AO33" s="115">
        <f t="shared" si="5"/>
        <v>0</v>
      </c>
      <c r="AP33" s="116"/>
      <c r="AQ33" s="114"/>
      <c r="AR33" s="114"/>
      <c r="AS33" s="115">
        <f t="shared" si="6"/>
        <v>0</v>
      </c>
      <c r="AT33" s="114"/>
      <c r="AU33" s="114"/>
      <c r="AV33" s="114"/>
      <c r="AW33" s="117">
        <f t="shared" si="25"/>
        <v>0</v>
      </c>
      <c r="AX33" s="114"/>
      <c r="AY33" s="114"/>
      <c r="AZ33" s="114"/>
      <c r="BA33" s="115">
        <f t="shared" si="7"/>
        <v>0</v>
      </c>
      <c r="BB33" s="116"/>
      <c r="BC33" s="114"/>
      <c r="BD33" s="114"/>
      <c r="BE33" s="115">
        <f t="shared" si="8"/>
        <v>0</v>
      </c>
      <c r="BF33" s="114"/>
      <c r="BG33" s="114"/>
      <c r="BH33" s="114"/>
      <c r="BI33" s="115">
        <f t="shared" si="9"/>
        <v>0</v>
      </c>
      <c r="BJ33" s="114"/>
      <c r="BK33" s="114"/>
      <c r="BL33" s="114"/>
      <c r="BM33" s="115">
        <f t="shared" si="10"/>
        <v>0</v>
      </c>
      <c r="BN33" s="114"/>
      <c r="BO33" s="114"/>
      <c r="BP33" s="114"/>
      <c r="BQ33" s="115">
        <f t="shared" si="11"/>
        <v>0</v>
      </c>
      <c r="BR33" s="114"/>
      <c r="BS33" s="114"/>
      <c r="BT33" s="114"/>
      <c r="BU33" s="115">
        <f t="shared" si="12"/>
        <v>0</v>
      </c>
      <c r="BV33" s="114"/>
      <c r="BW33" s="114"/>
      <c r="BX33" s="114"/>
      <c r="BY33" s="115">
        <f t="shared" si="13"/>
        <v>0</v>
      </c>
      <c r="BZ33" s="114"/>
      <c r="CA33" s="114"/>
      <c r="CB33" s="114"/>
      <c r="CC33" s="115">
        <f t="shared" si="14"/>
        <v>0</v>
      </c>
      <c r="CD33" s="5"/>
      <c r="CE33" s="114"/>
      <c r="CF33" s="114"/>
      <c r="CG33" s="115">
        <f t="shared" si="15"/>
        <v>0</v>
      </c>
      <c r="CI33" s="114"/>
      <c r="CJ33" s="114"/>
      <c r="CK33" s="115">
        <f t="shared" si="16"/>
        <v>0</v>
      </c>
      <c r="CM33" s="114"/>
      <c r="CN33" s="114"/>
      <c r="CO33" s="115">
        <f t="shared" si="17"/>
        <v>0</v>
      </c>
      <c r="CP33" s="114"/>
      <c r="CQ33" s="114"/>
      <c r="CR33" s="114"/>
      <c r="CS33" s="115">
        <f t="shared" si="18"/>
        <v>0</v>
      </c>
      <c r="CT33" s="114"/>
      <c r="CU33" s="114"/>
      <c r="CV33" s="114"/>
      <c r="CW33" s="115">
        <f t="shared" si="19"/>
        <v>0</v>
      </c>
      <c r="CX33" s="114"/>
      <c r="CY33" s="114"/>
      <c r="CZ33" s="114"/>
      <c r="DA33" s="115">
        <f t="shared" si="20"/>
        <v>0</v>
      </c>
      <c r="DB33" s="114"/>
      <c r="DC33" s="114"/>
      <c r="DD33" s="114"/>
      <c r="DE33" s="115">
        <f t="shared" si="21"/>
        <v>0</v>
      </c>
      <c r="DF33" s="5"/>
      <c r="DG33" s="114"/>
      <c r="DH33" s="114"/>
      <c r="DI33" s="115">
        <f t="shared" si="22"/>
        <v>0</v>
      </c>
      <c r="DK33" s="114"/>
      <c r="DL33" s="114"/>
      <c r="DM33" s="115">
        <f t="shared" si="23"/>
        <v>0</v>
      </c>
      <c r="DO33" s="107">
        <f t="shared" si="26"/>
        <v>0</v>
      </c>
      <c r="DP33"/>
      <c r="DQ33" s="129" t="str">
        <f t="shared" si="27"/>
        <v>-</v>
      </c>
      <c r="DR33"/>
      <c r="DS33" s="173" t="str">
        <f>IFERROR(RANK(DQ33,$DQ$6:$DQ$70)&amp;LOOKUP(RANK(DQ33,$DQ$6:$DQ$70),{1,2,3,4;"st","nd","rd","th"}),"-")</f>
        <v>-</v>
      </c>
      <c r="DT33" s="167">
        <f>'FIRST TERM'!DO33</f>
        <v>0</v>
      </c>
      <c r="DU33" s="168">
        <f>'SECOND TERM'!DO33</f>
        <v>0</v>
      </c>
      <c r="DV33" s="158">
        <f t="shared" si="28"/>
        <v>0</v>
      </c>
      <c r="DW33" s="177" t="str">
        <f>RANK(DV33,$DV$6:$DV$70)&amp;LOOKUP(RANK(DV33,$DV$6:$DV$70),{1,2,3,4;"st","nd","rd","th"})</f>
        <v>12th</v>
      </c>
    </row>
    <row r="34" spans="1:127">
      <c r="A34" s="75">
        <v>29</v>
      </c>
      <c r="B34" s="74"/>
      <c r="C34" s="33"/>
      <c r="D34" s="34"/>
      <c r="E34" s="35"/>
      <c r="F34"/>
      <c r="G34" s="34"/>
      <c r="H34" s="34"/>
      <c r="I34" s="34"/>
      <c r="J34" s="34"/>
      <c r="K34" s="5"/>
      <c r="L34" s="36"/>
      <c r="M34" s="36"/>
      <c r="N34" s="36"/>
      <c r="O34" s="36"/>
      <c r="P34" s="36"/>
      <c r="Q34" s="36"/>
      <c r="R34" s="5"/>
      <c r="S34" s="114"/>
      <c r="T34" s="114"/>
      <c r="U34" s="115">
        <f t="shared" si="24"/>
        <v>0</v>
      </c>
      <c r="V34" s="116"/>
      <c r="W34" s="114"/>
      <c r="X34" s="114"/>
      <c r="Y34" s="115">
        <f t="shared" si="1"/>
        <v>0</v>
      </c>
      <c r="Z34" s="116"/>
      <c r="AA34" s="114"/>
      <c r="AB34" s="114"/>
      <c r="AC34" s="115">
        <f t="shared" si="2"/>
        <v>0</v>
      </c>
      <c r="AD34" s="114"/>
      <c r="AE34" s="114"/>
      <c r="AF34" s="114"/>
      <c r="AG34" s="115">
        <f t="shared" si="3"/>
        <v>0</v>
      </c>
      <c r="AH34" s="116"/>
      <c r="AI34" s="114"/>
      <c r="AJ34" s="114"/>
      <c r="AK34" s="115">
        <f t="shared" si="4"/>
        <v>0</v>
      </c>
      <c r="AL34" s="116"/>
      <c r="AM34" s="114"/>
      <c r="AN34" s="114"/>
      <c r="AO34" s="115">
        <f t="shared" si="5"/>
        <v>0</v>
      </c>
      <c r="AP34" s="116"/>
      <c r="AQ34" s="114"/>
      <c r="AR34" s="114"/>
      <c r="AS34" s="115">
        <f t="shared" si="6"/>
        <v>0</v>
      </c>
      <c r="AT34" s="114"/>
      <c r="AU34" s="114"/>
      <c r="AV34" s="114"/>
      <c r="AW34" s="117">
        <f t="shared" si="25"/>
        <v>0</v>
      </c>
      <c r="AX34" s="114"/>
      <c r="AY34" s="114"/>
      <c r="AZ34" s="114"/>
      <c r="BA34" s="115">
        <f t="shared" si="7"/>
        <v>0</v>
      </c>
      <c r="BB34" s="116"/>
      <c r="BC34" s="114"/>
      <c r="BD34" s="114"/>
      <c r="BE34" s="115">
        <f t="shared" si="8"/>
        <v>0</v>
      </c>
      <c r="BF34" s="114"/>
      <c r="BG34" s="114"/>
      <c r="BH34" s="114"/>
      <c r="BI34" s="115">
        <f t="shared" si="9"/>
        <v>0</v>
      </c>
      <c r="BJ34" s="114"/>
      <c r="BK34" s="114"/>
      <c r="BL34" s="114"/>
      <c r="BM34" s="115">
        <f t="shared" si="10"/>
        <v>0</v>
      </c>
      <c r="BN34" s="114"/>
      <c r="BO34" s="114"/>
      <c r="BP34" s="114"/>
      <c r="BQ34" s="115">
        <f t="shared" si="11"/>
        <v>0</v>
      </c>
      <c r="BR34" s="114"/>
      <c r="BS34" s="114"/>
      <c r="BT34" s="114"/>
      <c r="BU34" s="115">
        <f t="shared" si="12"/>
        <v>0</v>
      </c>
      <c r="BV34" s="114"/>
      <c r="BW34" s="114"/>
      <c r="BX34" s="114"/>
      <c r="BY34" s="115">
        <f t="shared" si="13"/>
        <v>0</v>
      </c>
      <c r="BZ34" s="114"/>
      <c r="CA34" s="114"/>
      <c r="CB34" s="114"/>
      <c r="CC34" s="115">
        <f t="shared" si="14"/>
        <v>0</v>
      </c>
      <c r="CD34" s="5"/>
      <c r="CE34" s="114"/>
      <c r="CF34" s="114"/>
      <c r="CG34" s="115">
        <f t="shared" si="15"/>
        <v>0</v>
      </c>
      <c r="CI34" s="114"/>
      <c r="CJ34" s="114"/>
      <c r="CK34" s="115">
        <f t="shared" si="16"/>
        <v>0</v>
      </c>
      <c r="CM34" s="114"/>
      <c r="CN34" s="114"/>
      <c r="CO34" s="115">
        <f t="shared" si="17"/>
        <v>0</v>
      </c>
      <c r="CP34" s="114"/>
      <c r="CQ34" s="114"/>
      <c r="CR34" s="114"/>
      <c r="CS34" s="115">
        <f t="shared" si="18"/>
        <v>0</v>
      </c>
      <c r="CT34" s="114"/>
      <c r="CU34" s="114"/>
      <c r="CV34" s="114"/>
      <c r="CW34" s="115">
        <f t="shared" si="19"/>
        <v>0</v>
      </c>
      <c r="CX34" s="114"/>
      <c r="CY34" s="114"/>
      <c r="CZ34" s="114"/>
      <c r="DA34" s="115">
        <f t="shared" si="20"/>
        <v>0</v>
      </c>
      <c r="DB34" s="114"/>
      <c r="DC34" s="114"/>
      <c r="DD34" s="114"/>
      <c r="DE34" s="115">
        <f t="shared" si="21"/>
        <v>0</v>
      </c>
      <c r="DF34" s="5"/>
      <c r="DG34" s="114"/>
      <c r="DH34" s="114"/>
      <c r="DI34" s="115">
        <f t="shared" si="22"/>
        <v>0</v>
      </c>
      <c r="DK34" s="114"/>
      <c r="DL34" s="114"/>
      <c r="DM34" s="115">
        <f t="shared" si="23"/>
        <v>0</v>
      </c>
      <c r="DO34" s="107">
        <f t="shared" si="26"/>
        <v>0</v>
      </c>
      <c r="DP34"/>
      <c r="DQ34" s="129" t="str">
        <f t="shared" si="27"/>
        <v>-</v>
      </c>
      <c r="DR34"/>
      <c r="DS34" s="173" t="str">
        <f>IFERROR(RANK(DQ34,$DQ$6:$DQ$70)&amp;LOOKUP(RANK(DQ34,$DQ$6:$DQ$70),{1,2,3,4;"st","nd","rd","th"}),"-")</f>
        <v>-</v>
      </c>
      <c r="DT34" s="167">
        <f>'FIRST TERM'!DO34</f>
        <v>0</v>
      </c>
      <c r="DU34" s="168">
        <f>'SECOND TERM'!DO34</f>
        <v>0</v>
      </c>
      <c r="DV34" s="158">
        <f t="shared" si="28"/>
        <v>0</v>
      </c>
      <c r="DW34" s="177" t="str">
        <f>RANK(DV34,$DV$6:$DV$70)&amp;LOOKUP(RANK(DV34,$DV$6:$DV$70),{1,2,3,4;"st","nd","rd","th"})</f>
        <v>12th</v>
      </c>
    </row>
    <row r="35" spans="1:127">
      <c r="A35" s="75">
        <v>30</v>
      </c>
      <c r="B35" s="74"/>
      <c r="C35" s="33"/>
      <c r="D35" s="34"/>
      <c r="E35" s="35"/>
      <c r="F35"/>
      <c r="G35" s="34"/>
      <c r="H35" s="34"/>
      <c r="I35" s="34"/>
      <c r="J35" s="34"/>
      <c r="K35" s="5"/>
      <c r="L35" s="36"/>
      <c r="M35" s="36"/>
      <c r="N35" s="36"/>
      <c r="O35" s="36"/>
      <c r="P35" s="36"/>
      <c r="Q35" s="36"/>
      <c r="R35" s="5"/>
      <c r="S35" s="114"/>
      <c r="T35" s="114"/>
      <c r="U35" s="115">
        <f t="shared" si="24"/>
        <v>0</v>
      </c>
      <c r="V35" s="116"/>
      <c r="W35" s="114"/>
      <c r="X35" s="114"/>
      <c r="Y35" s="115">
        <f t="shared" si="1"/>
        <v>0</v>
      </c>
      <c r="Z35" s="116"/>
      <c r="AA35" s="114"/>
      <c r="AB35" s="114"/>
      <c r="AC35" s="115">
        <f t="shared" si="2"/>
        <v>0</v>
      </c>
      <c r="AD35" s="114"/>
      <c r="AE35" s="114"/>
      <c r="AF35" s="114"/>
      <c r="AG35" s="115">
        <f t="shared" si="3"/>
        <v>0</v>
      </c>
      <c r="AH35" s="116"/>
      <c r="AI35" s="114"/>
      <c r="AJ35" s="114"/>
      <c r="AK35" s="115">
        <f t="shared" si="4"/>
        <v>0</v>
      </c>
      <c r="AL35" s="116"/>
      <c r="AM35" s="114"/>
      <c r="AN35" s="114"/>
      <c r="AO35" s="115">
        <f t="shared" si="5"/>
        <v>0</v>
      </c>
      <c r="AP35" s="116"/>
      <c r="AQ35" s="114"/>
      <c r="AR35" s="114"/>
      <c r="AS35" s="115">
        <f t="shared" si="6"/>
        <v>0</v>
      </c>
      <c r="AT35" s="114"/>
      <c r="AU35" s="114"/>
      <c r="AV35" s="114"/>
      <c r="AW35" s="117">
        <f t="shared" si="25"/>
        <v>0</v>
      </c>
      <c r="AX35" s="114"/>
      <c r="AY35" s="114"/>
      <c r="AZ35" s="114"/>
      <c r="BA35" s="115">
        <f t="shared" si="7"/>
        <v>0</v>
      </c>
      <c r="BB35" s="116"/>
      <c r="BC35" s="114"/>
      <c r="BD35" s="114"/>
      <c r="BE35" s="115">
        <f t="shared" si="8"/>
        <v>0</v>
      </c>
      <c r="BF35" s="114"/>
      <c r="BG35" s="114"/>
      <c r="BH35" s="114"/>
      <c r="BI35" s="115">
        <f t="shared" si="9"/>
        <v>0</v>
      </c>
      <c r="BJ35" s="114"/>
      <c r="BK35" s="114"/>
      <c r="BL35" s="114"/>
      <c r="BM35" s="115">
        <f t="shared" si="10"/>
        <v>0</v>
      </c>
      <c r="BN35" s="114"/>
      <c r="BO35" s="114"/>
      <c r="BP35" s="114"/>
      <c r="BQ35" s="115">
        <f t="shared" si="11"/>
        <v>0</v>
      </c>
      <c r="BR35" s="114"/>
      <c r="BS35" s="114"/>
      <c r="BT35" s="114"/>
      <c r="BU35" s="115">
        <f t="shared" si="12"/>
        <v>0</v>
      </c>
      <c r="BV35" s="114"/>
      <c r="BW35" s="114"/>
      <c r="BX35" s="114"/>
      <c r="BY35" s="115">
        <f t="shared" si="13"/>
        <v>0</v>
      </c>
      <c r="BZ35" s="114"/>
      <c r="CA35" s="114"/>
      <c r="CB35" s="114"/>
      <c r="CC35" s="115">
        <f t="shared" si="14"/>
        <v>0</v>
      </c>
      <c r="CD35" s="5"/>
      <c r="CE35" s="114"/>
      <c r="CF35" s="114"/>
      <c r="CG35" s="115">
        <f t="shared" si="15"/>
        <v>0</v>
      </c>
      <c r="CI35" s="114"/>
      <c r="CJ35" s="114"/>
      <c r="CK35" s="115">
        <f t="shared" si="16"/>
        <v>0</v>
      </c>
      <c r="CM35" s="114"/>
      <c r="CN35" s="114"/>
      <c r="CO35" s="115">
        <f t="shared" si="17"/>
        <v>0</v>
      </c>
      <c r="CP35" s="114"/>
      <c r="CQ35" s="114"/>
      <c r="CR35" s="114"/>
      <c r="CS35" s="115">
        <f t="shared" si="18"/>
        <v>0</v>
      </c>
      <c r="CT35" s="114"/>
      <c r="CU35" s="114"/>
      <c r="CV35" s="114"/>
      <c r="CW35" s="115">
        <f t="shared" si="19"/>
        <v>0</v>
      </c>
      <c r="CX35" s="114"/>
      <c r="CY35" s="114"/>
      <c r="CZ35" s="114"/>
      <c r="DA35" s="115">
        <f t="shared" si="20"/>
        <v>0</v>
      </c>
      <c r="DB35" s="114"/>
      <c r="DC35" s="114"/>
      <c r="DD35" s="114"/>
      <c r="DE35" s="115">
        <f t="shared" si="21"/>
        <v>0</v>
      </c>
      <c r="DF35" s="5"/>
      <c r="DG35" s="114"/>
      <c r="DH35" s="114"/>
      <c r="DI35" s="115">
        <f t="shared" si="22"/>
        <v>0</v>
      </c>
      <c r="DK35" s="114"/>
      <c r="DL35" s="114"/>
      <c r="DM35" s="115">
        <f t="shared" si="23"/>
        <v>0</v>
      </c>
      <c r="DO35" s="107">
        <f t="shared" si="26"/>
        <v>0</v>
      </c>
      <c r="DP35"/>
      <c r="DQ35" s="129" t="str">
        <f t="shared" si="27"/>
        <v>-</v>
      </c>
      <c r="DR35"/>
      <c r="DS35" s="173" t="str">
        <f>IFERROR(RANK(DQ35,$DQ$6:$DQ$70)&amp;LOOKUP(RANK(DQ35,$DQ$6:$DQ$70),{1,2,3,4;"st","nd","rd","th"}),"-")</f>
        <v>-</v>
      </c>
      <c r="DT35" s="167">
        <f>'FIRST TERM'!DO35</f>
        <v>0</v>
      </c>
      <c r="DU35" s="168">
        <f>'SECOND TERM'!DO35</f>
        <v>0</v>
      </c>
      <c r="DV35" s="158">
        <f t="shared" si="28"/>
        <v>0</v>
      </c>
      <c r="DW35" s="177" t="str">
        <f>RANK(DV35,$DV$6:$DV$70)&amp;LOOKUP(RANK(DV35,$DV$6:$DV$70),{1,2,3,4;"st","nd","rd","th"})</f>
        <v>12th</v>
      </c>
    </row>
    <row r="36" spans="1:127">
      <c r="A36" s="75">
        <v>31</v>
      </c>
      <c r="B36" s="74"/>
      <c r="C36" s="33"/>
      <c r="D36" s="34"/>
      <c r="E36" s="35"/>
      <c r="F36"/>
      <c r="G36" s="34"/>
      <c r="H36" s="34"/>
      <c r="I36" s="34"/>
      <c r="J36" s="34"/>
      <c r="K36" s="5"/>
      <c r="L36" s="36"/>
      <c r="M36" s="36"/>
      <c r="N36" s="36"/>
      <c r="O36" s="36"/>
      <c r="P36" s="36"/>
      <c r="Q36" s="36"/>
      <c r="R36" s="5"/>
      <c r="S36" s="114"/>
      <c r="T36" s="114"/>
      <c r="U36" s="115">
        <f t="shared" si="24"/>
        <v>0</v>
      </c>
      <c r="V36" s="116"/>
      <c r="W36" s="114"/>
      <c r="X36" s="114"/>
      <c r="Y36" s="115">
        <f t="shared" si="1"/>
        <v>0</v>
      </c>
      <c r="Z36" s="116"/>
      <c r="AA36" s="114"/>
      <c r="AB36" s="114"/>
      <c r="AC36" s="115">
        <f t="shared" si="2"/>
        <v>0</v>
      </c>
      <c r="AD36" s="114"/>
      <c r="AE36" s="114"/>
      <c r="AF36" s="114"/>
      <c r="AG36" s="115">
        <f t="shared" si="3"/>
        <v>0</v>
      </c>
      <c r="AH36" s="116"/>
      <c r="AI36" s="114"/>
      <c r="AJ36" s="114"/>
      <c r="AK36" s="115">
        <f t="shared" si="4"/>
        <v>0</v>
      </c>
      <c r="AL36" s="116"/>
      <c r="AM36" s="114"/>
      <c r="AN36" s="114"/>
      <c r="AO36" s="115">
        <f t="shared" si="5"/>
        <v>0</v>
      </c>
      <c r="AP36" s="116"/>
      <c r="AQ36" s="114"/>
      <c r="AR36" s="114"/>
      <c r="AS36" s="115">
        <f t="shared" si="6"/>
        <v>0</v>
      </c>
      <c r="AT36" s="114"/>
      <c r="AU36" s="114"/>
      <c r="AV36" s="114"/>
      <c r="AW36" s="117">
        <f t="shared" si="25"/>
        <v>0</v>
      </c>
      <c r="AX36" s="114"/>
      <c r="AY36" s="114"/>
      <c r="AZ36" s="114"/>
      <c r="BA36" s="115">
        <f t="shared" si="7"/>
        <v>0</v>
      </c>
      <c r="BB36" s="116"/>
      <c r="BC36" s="114"/>
      <c r="BD36" s="114"/>
      <c r="BE36" s="115">
        <f t="shared" si="8"/>
        <v>0</v>
      </c>
      <c r="BF36" s="114"/>
      <c r="BG36" s="114"/>
      <c r="BH36" s="114"/>
      <c r="BI36" s="115">
        <f t="shared" si="9"/>
        <v>0</v>
      </c>
      <c r="BJ36" s="114"/>
      <c r="BK36" s="114"/>
      <c r="BL36" s="114"/>
      <c r="BM36" s="115">
        <f t="shared" si="10"/>
        <v>0</v>
      </c>
      <c r="BN36" s="114"/>
      <c r="BO36" s="114"/>
      <c r="BP36" s="114"/>
      <c r="BQ36" s="115">
        <f t="shared" si="11"/>
        <v>0</v>
      </c>
      <c r="BR36" s="114"/>
      <c r="BS36" s="114"/>
      <c r="BT36" s="114"/>
      <c r="BU36" s="115">
        <f t="shared" si="12"/>
        <v>0</v>
      </c>
      <c r="BV36" s="114"/>
      <c r="BW36" s="114"/>
      <c r="BX36" s="114"/>
      <c r="BY36" s="115">
        <f t="shared" si="13"/>
        <v>0</v>
      </c>
      <c r="BZ36" s="114"/>
      <c r="CA36" s="114"/>
      <c r="CB36" s="114"/>
      <c r="CC36" s="115">
        <f t="shared" si="14"/>
        <v>0</v>
      </c>
      <c r="CD36" s="5"/>
      <c r="CE36" s="114"/>
      <c r="CF36" s="114"/>
      <c r="CG36" s="115">
        <f t="shared" si="15"/>
        <v>0</v>
      </c>
      <c r="CI36" s="114"/>
      <c r="CJ36" s="114"/>
      <c r="CK36" s="115">
        <f t="shared" si="16"/>
        <v>0</v>
      </c>
      <c r="CM36" s="114"/>
      <c r="CN36" s="114"/>
      <c r="CO36" s="115">
        <f t="shared" si="17"/>
        <v>0</v>
      </c>
      <c r="CP36" s="114"/>
      <c r="CQ36" s="114"/>
      <c r="CR36" s="114"/>
      <c r="CS36" s="115">
        <f t="shared" si="18"/>
        <v>0</v>
      </c>
      <c r="CT36" s="114"/>
      <c r="CU36" s="114"/>
      <c r="CV36" s="114"/>
      <c r="CW36" s="115">
        <f t="shared" si="19"/>
        <v>0</v>
      </c>
      <c r="CX36" s="114"/>
      <c r="CY36" s="114"/>
      <c r="CZ36" s="114"/>
      <c r="DA36" s="115">
        <f t="shared" si="20"/>
        <v>0</v>
      </c>
      <c r="DB36" s="114"/>
      <c r="DC36" s="114"/>
      <c r="DD36" s="114"/>
      <c r="DE36" s="115">
        <f t="shared" si="21"/>
        <v>0</v>
      </c>
      <c r="DF36" s="5"/>
      <c r="DG36" s="114"/>
      <c r="DH36" s="114"/>
      <c r="DI36" s="115">
        <f t="shared" si="22"/>
        <v>0</v>
      </c>
      <c r="DK36" s="114"/>
      <c r="DL36" s="114"/>
      <c r="DM36" s="115">
        <f t="shared" si="23"/>
        <v>0</v>
      </c>
      <c r="DO36" s="107">
        <f t="shared" si="26"/>
        <v>0</v>
      </c>
      <c r="DP36"/>
      <c r="DQ36" s="129" t="str">
        <f t="shared" si="27"/>
        <v>-</v>
      </c>
      <c r="DR36"/>
      <c r="DS36" s="173" t="str">
        <f>IFERROR(RANK(DQ36,$DQ$6:$DQ$70)&amp;LOOKUP(RANK(DQ36,$DQ$6:$DQ$70),{1,2,3,4;"st","nd","rd","th"}),"-")</f>
        <v>-</v>
      </c>
      <c r="DT36" s="167">
        <f>'FIRST TERM'!DO36</f>
        <v>0</v>
      </c>
      <c r="DU36" s="168">
        <f>'SECOND TERM'!DO36</f>
        <v>0</v>
      </c>
      <c r="DV36" s="158">
        <f t="shared" si="28"/>
        <v>0</v>
      </c>
      <c r="DW36" s="177" t="str">
        <f>RANK(DV36,$DV$6:$DV$70)&amp;LOOKUP(RANK(DV36,$DV$6:$DV$70),{1,2,3,4;"st","nd","rd","th"})</f>
        <v>12th</v>
      </c>
    </row>
    <row r="37" spans="1:127">
      <c r="A37" s="75">
        <v>32</v>
      </c>
      <c r="B37" s="74"/>
      <c r="C37" s="33"/>
      <c r="D37" s="34"/>
      <c r="E37" s="35"/>
      <c r="F37"/>
      <c r="G37" s="34"/>
      <c r="H37" s="34"/>
      <c r="I37" s="34"/>
      <c r="J37" s="34"/>
      <c r="K37" s="5"/>
      <c r="L37" s="36"/>
      <c r="M37" s="36"/>
      <c r="N37" s="36"/>
      <c r="O37" s="36"/>
      <c r="P37" s="36"/>
      <c r="Q37" s="36"/>
      <c r="R37" s="5"/>
      <c r="S37" s="114"/>
      <c r="T37" s="114"/>
      <c r="U37" s="115">
        <f t="shared" si="24"/>
        <v>0</v>
      </c>
      <c r="V37" s="116"/>
      <c r="W37" s="114"/>
      <c r="X37" s="114"/>
      <c r="Y37" s="115">
        <f t="shared" si="1"/>
        <v>0</v>
      </c>
      <c r="Z37" s="116"/>
      <c r="AA37" s="114"/>
      <c r="AB37" s="114"/>
      <c r="AC37" s="115">
        <f t="shared" si="2"/>
        <v>0</v>
      </c>
      <c r="AD37" s="114"/>
      <c r="AE37" s="114"/>
      <c r="AF37" s="114"/>
      <c r="AG37" s="115">
        <f t="shared" si="3"/>
        <v>0</v>
      </c>
      <c r="AH37" s="116"/>
      <c r="AI37" s="114"/>
      <c r="AJ37" s="114"/>
      <c r="AK37" s="115">
        <f t="shared" si="4"/>
        <v>0</v>
      </c>
      <c r="AL37" s="116"/>
      <c r="AM37" s="114"/>
      <c r="AN37" s="114"/>
      <c r="AO37" s="115">
        <f t="shared" si="5"/>
        <v>0</v>
      </c>
      <c r="AP37" s="116"/>
      <c r="AQ37" s="114"/>
      <c r="AR37" s="114"/>
      <c r="AS37" s="115">
        <f t="shared" si="6"/>
        <v>0</v>
      </c>
      <c r="AT37" s="114"/>
      <c r="AU37" s="114"/>
      <c r="AV37" s="114"/>
      <c r="AW37" s="117">
        <f t="shared" si="25"/>
        <v>0</v>
      </c>
      <c r="AX37" s="114"/>
      <c r="AY37" s="114"/>
      <c r="AZ37" s="114"/>
      <c r="BA37" s="115">
        <f t="shared" si="7"/>
        <v>0</v>
      </c>
      <c r="BB37" s="116"/>
      <c r="BC37" s="114"/>
      <c r="BD37" s="114"/>
      <c r="BE37" s="115">
        <f t="shared" si="8"/>
        <v>0</v>
      </c>
      <c r="BF37" s="114"/>
      <c r="BG37" s="114"/>
      <c r="BH37" s="114"/>
      <c r="BI37" s="115">
        <f t="shared" si="9"/>
        <v>0</v>
      </c>
      <c r="BJ37" s="114"/>
      <c r="BK37" s="114"/>
      <c r="BL37" s="114"/>
      <c r="BM37" s="115">
        <f t="shared" si="10"/>
        <v>0</v>
      </c>
      <c r="BN37" s="114"/>
      <c r="BO37" s="114"/>
      <c r="BP37" s="114"/>
      <c r="BQ37" s="115">
        <f t="shared" si="11"/>
        <v>0</v>
      </c>
      <c r="BR37" s="114"/>
      <c r="BS37" s="114"/>
      <c r="BT37" s="114"/>
      <c r="BU37" s="115">
        <f t="shared" si="12"/>
        <v>0</v>
      </c>
      <c r="BV37" s="114"/>
      <c r="BW37" s="114"/>
      <c r="BX37" s="114"/>
      <c r="BY37" s="115">
        <f t="shared" si="13"/>
        <v>0</v>
      </c>
      <c r="BZ37" s="114"/>
      <c r="CA37" s="114"/>
      <c r="CB37" s="114"/>
      <c r="CC37" s="115">
        <f t="shared" si="14"/>
        <v>0</v>
      </c>
      <c r="CD37" s="5"/>
      <c r="CE37" s="114"/>
      <c r="CF37" s="114"/>
      <c r="CG37" s="115">
        <f t="shared" si="15"/>
        <v>0</v>
      </c>
      <c r="CI37" s="114"/>
      <c r="CJ37" s="114"/>
      <c r="CK37" s="115">
        <f t="shared" si="16"/>
        <v>0</v>
      </c>
      <c r="CM37" s="114"/>
      <c r="CN37" s="114"/>
      <c r="CO37" s="115">
        <f t="shared" si="17"/>
        <v>0</v>
      </c>
      <c r="CP37" s="114"/>
      <c r="CQ37" s="114"/>
      <c r="CR37" s="114"/>
      <c r="CS37" s="115">
        <f t="shared" si="18"/>
        <v>0</v>
      </c>
      <c r="CT37" s="114"/>
      <c r="CU37" s="114"/>
      <c r="CV37" s="114"/>
      <c r="CW37" s="115">
        <f t="shared" si="19"/>
        <v>0</v>
      </c>
      <c r="CX37" s="114"/>
      <c r="CY37" s="114"/>
      <c r="CZ37" s="114"/>
      <c r="DA37" s="115">
        <f t="shared" si="20"/>
        <v>0</v>
      </c>
      <c r="DB37" s="114"/>
      <c r="DC37" s="114"/>
      <c r="DD37" s="114"/>
      <c r="DE37" s="115">
        <f t="shared" si="21"/>
        <v>0</v>
      </c>
      <c r="DF37" s="5"/>
      <c r="DG37" s="114"/>
      <c r="DH37" s="114"/>
      <c r="DI37" s="115">
        <f t="shared" ref="DI37:DI68" si="29">DG37+DH37</f>
        <v>0</v>
      </c>
      <c r="DK37" s="114"/>
      <c r="DL37" s="114"/>
      <c r="DM37" s="115">
        <f t="shared" ref="DM37:DM68" si="30">DK37+DL37</f>
        <v>0</v>
      </c>
      <c r="DO37" s="107">
        <f t="shared" si="26"/>
        <v>0</v>
      </c>
      <c r="DP37"/>
      <c r="DQ37" s="129" t="str">
        <f t="shared" si="27"/>
        <v>-</v>
      </c>
      <c r="DR37"/>
      <c r="DS37" s="173" t="str">
        <f>IFERROR(RANK(DQ37,$DQ$6:$DQ$70)&amp;LOOKUP(RANK(DQ37,$DQ$6:$DQ$70),{1,2,3,4;"st","nd","rd","th"}),"-")</f>
        <v>-</v>
      </c>
      <c r="DT37" s="167">
        <f>'FIRST TERM'!DO37</f>
        <v>0</v>
      </c>
      <c r="DU37" s="168">
        <f>'SECOND TERM'!DO37</f>
        <v>0</v>
      </c>
      <c r="DV37" s="158">
        <f t="shared" si="28"/>
        <v>0</v>
      </c>
      <c r="DW37" s="177" t="str">
        <f>RANK(DV37,$DV$6:$DV$70)&amp;LOOKUP(RANK(DV37,$DV$6:$DV$70),{1,2,3,4;"st","nd","rd","th"})</f>
        <v>12th</v>
      </c>
    </row>
    <row r="38" spans="1:127">
      <c r="A38" s="75">
        <v>33</v>
      </c>
      <c r="B38" s="74"/>
      <c r="C38" s="33"/>
      <c r="D38" s="34"/>
      <c r="E38" s="35"/>
      <c r="F38"/>
      <c r="G38" s="34"/>
      <c r="H38" s="34"/>
      <c r="I38" s="34"/>
      <c r="J38" s="34"/>
      <c r="K38" s="5"/>
      <c r="L38" s="36"/>
      <c r="M38" s="36"/>
      <c r="N38" s="36"/>
      <c r="O38" s="36"/>
      <c r="P38" s="36"/>
      <c r="Q38" s="36"/>
      <c r="R38" s="5"/>
      <c r="S38" s="114"/>
      <c r="T38" s="114"/>
      <c r="U38" s="115">
        <f t="shared" si="24"/>
        <v>0</v>
      </c>
      <c r="V38" s="116"/>
      <c r="W38" s="114"/>
      <c r="X38" s="114"/>
      <c r="Y38" s="115">
        <f t="shared" si="1"/>
        <v>0</v>
      </c>
      <c r="Z38" s="116"/>
      <c r="AA38" s="114"/>
      <c r="AB38" s="114"/>
      <c r="AC38" s="115">
        <f t="shared" si="2"/>
        <v>0</v>
      </c>
      <c r="AD38" s="114"/>
      <c r="AE38" s="114"/>
      <c r="AF38" s="114"/>
      <c r="AG38" s="115">
        <f t="shared" si="3"/>
        <v>0</v>
      </c>
      <c r="AH38" s="116"/>
      <c r="AI38" s="114"/>
      <c r="AJ38" s="114"/>
      <c r="AK38" s="115">
        <f t="shared" si="4"/>
        <v>0</v>
      </c>
      <c r="AL38" s="116"/>
      <c r="AM38" s="114"/>
      <c r="AN38" s="114"/>
      <c r="AO38" s="115">
        <f t="shared" si="5"/>
        <v>0</v>
      </c>
      <c r="AP38" s="116"/>
      <c r="AQ38" s="114"/>
      <c r="AR38" s="114"/>
      <c r="AS38" s="115">
        <f t="shared" si="6"/>
        <v>0</v>
      </c>
      <c r="AT38" s="114"/>
      <c r="AU38" s="114"/>
      <c r="AV38" s="114"/>
      <c r="AW38" s="117">
        <f t="shared" ref="AW38:AW70" si="31">SUM(AU38:AV38)</f>
        <v>0</v>
      </c>
      <c r="AX38" s="114"/>
      <c r="AY38" s="114"/>
      <c r="AZ38" s="114"/>
      <c r="BA38" s="115">
        <f t="shared" si="7"/>
        <v>0</v>
      </c>
      <c r="BB38" s="116"/>
      <c r="BC38" s="114"/>
      <c r="BD38" s="114"/>
      <c r="BE38" s="115">
        <f t="shared" si="8"/>
        <v>0</v>
      </c>
      <c r="BF38" s="114"/>
      <c r="BG38" s="114"/>
      <c r="BH38" s="114"/>
      <c r="BI38" s="115">
        <f t="shared" si="9"/>
        <v>0</v>
      </c>
      <c r="BJ38" s="114"/>
      <c r="BK38" s="114"/>
      <c r="BL38" s="114"/>
      <c r="BM38" s="115">
        <f t="shared" si="10"/>
        <v>0</v>
      </c>
      <c r="BN38" s="114"/>
      <c r="BO38" s="114"/>
      <c r="BP38" s="114"/>
      <c r="BQ38" s="115">
        <f t="shared" si="11"/>
        <v>0</v>
      </c>
      <c r="BR38" s="114"/>
      <c r="BS38" s="114"/>
      <c r="BT38" s="114"/>
      <c r="BU38" s="115">
        <f t="shared" si="12"/>
        <v>0</v>
      </c>
      <c r="BV38" s="114"/>
      <c r="BW38" s="114"/>
      <c r="BX38" s="114"/>
      <c r="BY38" s="115">
        <f t="shared" si="13"/>
        <v>0</v>
      </c>
      <c r="BZ38" s="114"/>
      <c r="CA38" s="114"/>
      <c r="CB38" s="114"/>
      <c r="CC38" s="115">
        <f t="shared" si="14"/>
        <v>0</v>
      </c>
      <c r="CD38" s="5"/>
      <c r="CE38" s="114"/>
      <c r="CF38" s="114"/>
      <c r="CG38" s="115">
        <f t="shared" si="15"/>
        <v>0</v>
      </c>
      <c r="CI38" s="114"/>
      <c r="CJ38" s="114"/>
      <c r="CK38" s="115">
        <f t="shared" si="16"/>
        <v>0</v>
      </c>
      <c r="CM38" s="114"/>
      <c r="CN38" s="114"/>
      <c r="CO38" s="115">
        <f t="shared" si="17"/>
        <v>0</v>
      </c>
      <c r="CP38" s="114"/>
      <c r="CQ38" s="114"/>
      <c r="CR38" s="114"/>
      <c r="CS38" s="115">
        <f t="shared" si="18"/>
        <v>0</v>
      </c>
      <c r="CT38" s="114"/>
      <c r="CU38" s="114"/>
      <c r="CV38" s="114"/>
      <c r="CW38" s="115">
        <f t="shared" si="19"/>
        <v>0</v>
      </c>
      <c r="CX38" s="114"/>
      <c r="CY38" s="114"/>
      <c r="CZ38" s="114"/>
      <c r="DA38" s="115">
        <f t="shared" si="20"/>
        <v>0</v>
      </c>
      <c r="DB38" s="114"/>
      <c r="DC38" s="114"/>
      <c r="DD38" s="114"/>
      <c r="DE38" s="115">
        <f t="shared" si="21"/>
        <v>0</v>
      </c>
      <c r="DF38" s="5"/>
      <c r="DG38" s="114"/>
      <c r="DH38" s="114"/>
      <c r="DI38" s="115">
        <f t="shared" si="29"/>
        <v>0</v>
      </c>
      <c r="DK38" s="114"/>
      <c r="DL38" s="114"/>
      <c r="DM38" s="115">
        <f t="shared" si="30"/>
        <v>0</v>
      </c>
      <c r="DO38" s="107">
        <f t="shared" ref="DO38:DO70" si="32">SUMIF($S$4:$DM$4,$DM$4,$S38:$DM38)</f>
        <v>0</v>
      </c>
      <c r="DP38"/>
      <c r="DQ38" s="129" t="str">
        <f t="shared" ref="DQ38:DQ70" si="33">IFERROR(DO38/(COUNTIFS($S38:$DM38,"&gt;0",$S$4:$DM$4,$DM$4)*100),"-")</f>
        <v>-</v>
      </c>
      <c r="DR38"/>
      <c r="DS38" s="173" t="str">
        <f>IFERROR(RANK(DQ38,$DQ$6:$DQ$70)&amp;LOOKUP(RANK(DQ38,$DQ$6:$DQ$70),{1,2,3,4;"st","nd","rd","th"}),"-")</f>
        <v>-</v>
      </c>
      <c r="DT38" s="167">
        <f>'FIRST TERM'!DO38</f>
        <v>0</v>
      </c>
      <c r="DU38" s="168">
        <f>'SECOND TERM'!DO38</f>
        <v>0</v>
      </c>
      <c r="DV38" s="158">
        <f t="shared" si="28"/>
        <v>0</v>
      </c>
      <c r="DW38" s="177" t="str">
        <f>RANK(DV38,$DV$6:$DV$70)&amp;LOOKUP(RANK(DV38,$DV$6:$DV$70),{1,2,3,4;"st","nd","rd","th"})</f>
        <v>12th</v>
      </c>
    </row>
    <row r="39" spans="1:127">
      <c r="A39" s="75">
        <v>34</v>
      </c>
      <c r="B39" s="74"/>
      <c r="C39" s="33"/>
      <c r="D39" s="34"/>
      <c r="E39" s="35"/>
      <c r="F39"/>
      <c r="G39" s="34"/>
      <c r="H39" s="34"/>
      <c r="I39" s="34"/>
      <c r="J39" s="34"/>
      <c r="K39" s="5"/>
      <c r="L39" s="36"/>
      <c r="M39" s="36"/>
      <c r="N39" s="36"/>
      <c r="O39" s="36"/>
      <c r="P39" s="36"/>
      <c r="Q39" s="36"/>
      <c r="R39" s="5"/>
      <c r="S39" s="114"/>
      <c r="T39" s="114"/>
      <c r="U39" s="115">
        <f t="shared" si="24"/>
        <v>0</v>
      </c>
      <c r="V39" s="116"/>
      <c r="W39" s="114"/>
      <c r="X39" s="114"/>
      <c r="Y39" s="115">
        <f t="shared" si="1"/>
        <v>0</v>
      </c>
      <c r="Z39" s="116"/>
      <c r="AA39" s="114"/>
      <c r="AB39" s="114"/>
      <c r="AC39" s="115">
        <f t="shared" si="2"/>
        <v>0</v>
      </c>
      <c r="AD39" s="114"/>
      <c r="AE39" s="114"/>
      <c r="AF39" s="114"/>
      <c r="AG39" s="115">
        <f t="shared" si="3"/>
        <v>0</v>
      </c>
      <c r="AH39" s="116"/>
      <c r="AI39" s="114"/>
      <c r="AJ39" s="114"/>
      <c r="AK39" s="115">
        <f t="shared" si="4"/>
        <v>0</v>
      </c>
      <c r="AL39" s="116"/>
      <c r="AM39" s="114"/>
      <c r="AN39" s="114"/>
      <c r="AO39" s="115">
        <f t="shared" si="5"/>
        <v>0</v>
      </c>
      <c r="AP39" s="116"/>
      <c r="AQ39" s="114"/>
      <c r="AR39" s="114"/>
      <c r="AS39" s="115">
        <f t="shared" si="6"/>
        <v>0</v>
      </c>
      <c r="AT39" s="114"/>
      <c r="AU39" s="114"/>
      <c r="AV39" s="114"/>
      <c r="AW39" s="117">
        <f t="shared" si="31"/>
        <v>0</v>
      </c>
      <c r="AX39" s="114"/>
      <c r="AY39" s="114"/>
      <c r="AZ39" s="114"/>
      <c r="BA39" s="115">
        <f t="shared" si="7"/>
        <v>0</v>
      </c>
      <c r="BB39" s="116"/>
      <c r="BC39" s="114"/>
      <c r="BD39" s="114"/>
      <c r="BE39" s="115">
        <f t="shared" si="8"/>
        <v>0</v>
      </c>
      <c r="BF39" s="114"/>
      <c r="BG39" s="114"/>
      <c r="BH39" s="114"/>
      <c r="BI39" s="115">
        <f t="shared" si="9"/>
        <v>0</v>
      </c>
      <c r="BJ39" s="114"/>
      <c r="BK39" s="114"/>
      <c r="BL39" s="114"/>
      <c r="BM39" s="115">
        <f t="shared" si="10"/>
        <v>0</v>
      </c>
      <c r="BN39" s="114"/>
      <c r="BO39" s="114"/>
      <c r="BP39" s="114"/>
      <c r="BQ39" s="115">
        <f t="shared" si="11"/>
        <v>0</v>
      </c>
      <c r="BR39" s="114"/>
      <c r="BS39" s="114"/>
      <c r="BT39" s="114"/>
      <c r="BU39" s="115">
        <f t="shared" si="12"/>
        <v>0</v>
      </c>
      <c r="BV39" s="114"/>
      <c r="BW39" s="114"/>
      <c r="BX39" s="114"/>
      <c r="BY39" s="115">
        <f t="shared" si="13"/>
        <v>0</v>
      </c>
      <c r="BZ39" s="114"/>
      <c r="CA39" s="114"/>
      <c r="CB39" s="114"/>
      <c r="CC39" s="115">
        <f t="shared" si="14"/>
        <v>0</v>
      </c>
      <c r="CD39" s="5"/>
      <c r="CE39" s="114"/>
      <c r="CF39" s="114"/>
      <c r="CG39" s="115">
        <f t="shared" si="15"/>
        <v>0</v>
      </c>
      <c r="CI39" s="114"/>
      <c r="CJ39" s="114"/>
      <c r="CK39" s="115">
        <f t="shared" si="16"/>
        <v>0</v>
      </c>
      <c r="CM39" s="114"/>
      <c r="CN39" s="114"/>
      <c r="CO39" s="115">
        <f t="shared" si="17"/>
        <v>0</v>
      </c>
      <c r="CP39" s="114"/>
      <c r="CQ39" s="114"/>
      <c r="CR39" s="114"/>
      <c r="CS39" s="115">
        <f t="shared" si="18"/>
        <v>0</v>
      </c>
      <c r="CT39" s="114"/>
      <c r="CU39" s="114"/>
      <c r="CV39" s="114"/>
      <c r="CW39" s="115">
        <f t="shared" si="19"/>
        <v>0</v>
      </c>
      <c r="CX39" s="114"/>
      <c r="CY39" s="114"/>
      <c r="CZ39" s="114"/>
      <c r="DA39" s="115">
        <f t="shared" si="20"/>
        <v>0</v>
      </c>
      <c r="DB39" s="114"/>
      <c r="DC39" s="114"/>
      <c r="DD39" s="114"/>
      <c r="DE39" s="115">
        <f t="shared" si="21"/>
        <v>0</v>
      </c>
      <c r="DF39" s="5"/>
      <c r="DG39" s="114"/>
      <c r="DH39" s="114"/>
      <c r="DI39" s="115">
        <f t="shared" si="29"/>
        <v>0</v>
      </c>
      <c r="DK39" s="114"/>
      <c r="DL39" s="114"/>
      <c r="DM39" s="115">
        <f t="shared" si="30"/>
        <v>0</v>
      </c>
      <c r="DO39" s="107">
        <f t="shared" si="32"/>
        <v>0</v>
      </c>
      <c r="DP39"/>
      <c r="DQ39" s="129" t="str">
        <f t="shared" si="33"/>
        <v>-</v>
      </c>
      <c r="DR39"/>
      <c r="DS39" s="173" t="str">
        <f>IFERROR(RANK(DQ39,$DQ$6:$DQ$70)&amp;LOOKUP(RANK(DQ39,$DQ$6:$DQ$70),{1,2,3,4;"st","nd","rd","th"}),"-")</f>
        <v>-</v>
      </c>
      <c r="DT39" s="167">
        <f>'FIRST TERM'!DO39</f>
        <v>0</v>
      </c>
      <c r="DU39" s="168">
        <f>'SECOND TERM'!DO39</f>
        <v>0</v>
      </c>
      <c r="DV39" s="158">
        <f t="shared" si="28"/>
        <v>0</v>
      </c>
      <c r="DW39" s="177" t="str">
        <f>RANK(DV39,$DV$6:$DV$70)&amp;LOOKUP(RANK(DV39,$DV$6:$DV$70),{1,2,3,4;"st","nd","rd","th"})</f>
        <v>12th</v>
      </c>
    </row>
    <row r="40" spans="1:127">
      <c r="A40" s="75">
        <v>35</v>
      </c>
      <c r="B40" s="74"/>
      <c r="C40" s="33"/>
      <c r="D40" s="34"/>
      <c r="E40" s="35"/>
      <c r="F40"/>
      <c r="G40" s="34"/>
      <c r="H40" s="34"/>
      <c r="I40" s="34"/>
      <c r="J40" s="34"/>
      <c r="K40" s="5"/>
      <c r="L40" s="36"/>
      <c r="M40" s="36"/>
      <c r="N40" s="36"/>
      <c r="O40" s="36"/>
      <c r="P40" s="36"/>
      <c r="Q40" s="36"/>
      <c r="R40" s="5"/>
      <c r="S40" s="114"/>
      <c r="T40" s="114"/>
      <c r="U40" s="115">
        <f t="shared" si="24"/>
        <v>0</v>
      </c>
      <c r="V40" s="116"/>
      <c r="W40" s="114"/>
      <c r="X40" s="114"/>
      <c r="Y40" s="115">
        <f t="shared" si="1"/>
        <v>0</v>
      </c>
      <c r="Z40" s="116"/>
      <c r="AA40" s="114"/>
      <c r="AB40" s="114"/>
      <c r="AC40" s="115">
        <f t="shared" si="2"/>
        <v>0</v>
      </c>
      <c r="AD40" s="114"/>
      <c r="AE40" s="114"/>
      <c r="AF40" s="114"/>
      <c r="AG40" s="115">
        <f t="shared" si="3"/>
        <v>0</v>
      </c>
      <c r="AH40" s="116"/>
      <c r="AI40" s="114"/>
      <c r="AJ40" s="114"/>
      <c r="AK40" s="115">
        <f t="shared" si="4"/>
        <v>0</v>
      </c>
      <c r="AL40" s="116"/>
      <c r="AM40" s="114"/>
      <c r="AN40" s="114"/>
      <c r="AO40" s="115">
        <f t="shared" si="5"/>
        <v>0</v>
      </c>
      <c r="AP40" s="116"/>
      <c r="AQ40" s="114"/>
      <c r="AR40" s="114"/>
      <c r="AS40" s="115">
        <f t="shared" si="6"/>
        <v>0</v>
      </c>
      <c r="AT40" s="114"/>
      <c r="AU40" s="114"/>
      <c r="AV40" s="114"/>
      <c r="AW40" s="117">
        <f t="shared" si="31"/>
        <v>0</v>
      </c>
      <c r="AX40" s="114"/>
      <c r="AY40" s="114"/>
      <c r="AZ40" s="114"/>
      <c r="BA40" s="115">
        <f t="shared" si="7"/>
        <v>0</v>
      </c>
      <c r="BB40" s="116"/>
      <c r="BC40" s="114"/>
      <c r="BD40" s="114"/>
      <c r="BE40" s="115">
        <f t="shared" si="8"/>
        <v>0</v>
      </c>
      <c r="BF40" s="114"/>
      <c r="BG40" s="114"/>
      <c r="BH40" s="114"/>
      <c r="BI40" s="115">
        <f t="shared" si="9"/>
        <v>0</v>
      </c>
      <c r="BJ40" s="114"/>
      <c r="BK40" s="114"/>
      <c r="BL40" s="114"/>
      <c r="BM40" s="115">
        <f t="shared" si="10"/>
        <v>0</v>
      </c>
      <c r="BN40" s="114"/>
      <c r="BO40" s="114"/>
      <c r="BP40" s="114"/>
      <c r="BQ40" s="115">
        <f t="shared" si="11"/>
        <v>0</v>
      </c>
      <c r="BR40" s="114"/>
      <c r="BS40" s="114"/>
      <c r="BT40" s="114"/>
      <c r="BU40" s="115">
        <f t="shared" si="12"/>
        <v>0</v>
      </c>
      <c r="BV40" s="114"/>
      <c r="BW40" s="114"/>
      <c r="BX40" s="114"/>
      <c r="BY40" s="115">
        <f t="shared" si="13"/>
        <v>0</v>
      </c>
      <c r="BZ40" s="114"/>
      <c r="CA40" s="114"/>
      <c r="CB40" s="114"/>
      <c r="CC40" s="115">
        <f t="shared" si="14"/>
        <v>0</v>
      </c>
      <c r="CD40" s="5"/>
      <c r="CE40" s="114"/>
      <c r="CF40" s="114"/>
      <c r="CG40" s="115">
        <f t="shared" si="15"/>
        <v>0</v>
      </c>
      <c r="CI40" s="114"/>
      <c r="CJ40" s="114"/>
      <c r="CK40" s="115">
        <f t="shared" si="16"/>
        <v>0</v>
      </c>
      <c r="CM40" s="114"/>
      <c r="CN40" s="114"/>
      <c r="CO40" s="115">
        <f t="shared" si="17"/>
        <v>0</v>
      </c>
      <c r="CP40" s="114"/>
      <c r="CQ40" s="114"/>
      <c r="CR40" s="114"/>
      <c r="CS40" s="115">
        <f t="shared" si="18"/>
        <v>0</v>
      </c>
      <c r="CT40" s="114"/>
      <c r="CU40" s="114"/>
      <c r="CV40" s="114"/>
      <c r="CW40" s="115">
        <f t="shared" si="19"/>
        <v>0</v>
      </c>
      <c r="CX40" s="114"/>
      <c r="CY40" s="114"/>
      <c r="CZ40" s="114"/>
      <c r="DA40" s="115">
        <f t="shared" si="20"/>
        <v>0</v>
      </c>
      <c r="DB40" s="114"/>
      <c r="DC40" s="114"/>
      <c r="DD40" s="114"/>
      <c r="DE40" s="115">
        <f t="shared" si="21"/>
        <v>0</v>
      </c>
      <c r="DF40" s="5"/>
      <c r="DG40" s="114"/>
      <c r="DH40" s="114"/>
      <c r="DI40" s="115">
        <f t="shared" si="29"/>
        <v>0</v>
      </c>
      <c r="DK40" s="114"/>
      <c r="DL40" s="114"/>
      <c r="DM40" s="115">
        <f t="shared" si="30"/>
        <v>0</v>
      </c>
      <c r="DO40" s="107">
        <f t="shared" si="32"/>
        <v>0</v>
      </c>
      <c r="DP40"/>
      <c r="DQ40" s="129" t="str">
        <f t="shared" si="33"/>
        <v>-</v>
      </c>
      <c r="DR40"/>
      <c r="DS40" s="173" t="str">
        <f>IFERROR(RANK(DQ40,$DQ$6:$DQ$70)&amp;LOOKUP(RANK(DQ40,$DQ$6:$DQ$70),{1,2,3,4;"st","nd","rd","th"}),"-")</f>
        <v>-</v>
      </c>
      <c r="DT40" s="167">
        <f>'FIRST TERM'!DO40</f>
        <v>0</v>
      </c>
      <c r="DU40" s="168">
        <f>'SECOND TERM'!DO40</f>
        <v>0</v>
      </c>
      <c r="DV40" s="158">
        <f t="shared" si="28"/>
        <v>0</v>
      </c>
      <c r="DW40" s="177" t="str">
        <f>RANK(DV40,$DV$6:$DV$70)&amp;LOOKUP(RANK(DV40,$DV$6:$DV$70),{1,2,3,4;"st","nd","rd","th"})</f>
        <v>12th</v>
      </c>
    </row>
    <row r="41" spans="1:127">
      <c r="A41" s="75">
        <v>36</v>
      </c>
      <c r="B41" s="74"/>
      <c r="C41" s="33"/>
      <c r="D41" s="34"/>
      <c r="E41" s="35"/>
      <c r="F41"/>
      <c r="G41" s="34"/>
      <c r="H41" s="34"/>
      <c r="I41" s="34"/>
      <c r="J41" s="34"/>
      <c r="K41" s="5"/>
      <c r="L41" s="36"/>
      <c r="M41" s="36"/>
      <c r="N41" s="36"/>
      <c r="O41" s="36"/>
      <c r="P41" s="36"/>
      <c r="Q41" s="36"/>
      <c r="R41" s="5"/>
      <c r="S41" s="114"/>
      <c r="T41" s="114"/>
      <c r="U41" s="115">
        <f t="shared" si="24"/>
        <v>0</v>
      </c>
      <c r="V41" s="116"/>
      <c r="W41" s="114"/>
      <c r="X41" s="114"/>
      <c r="Y41" s="115">
        <f t="shared" si="1"/>
        <v>0</v>
      </c>
      <c r="Z41" s="116"/>
      <c r="AA41" s="114"/>
      <c r="AB41" s="114"/>
      <c r="AC41" s="115">
        <f t="shared" si="2"/>
        <v>0</v>
      </c>
      <c r="AD41" s="114"/>
      <c r="AE41" s="114"/>
      <c r="AF41" s="114"/>
      <c r="AG41" s="115">
        <f t="shared" si="3"/>
        <v>0</v>
      </c>
      <c r="AH41" s="116"/>
      <c r="AI41" s="114"/>
      <c r="AJ41" s="114"/>
      <c r="AK41" s="115">
        <f t="shared" si="4"/>
        <v>0</v>
      </c>
      <c r="AL41" s="116"/>
      <c r="AM41" s="114"/>
      <c r="AN41" s="114"/>
      <c r="AO41" s="115">
        <f t="shared" si="5"/>
        <v>0</v>
      </c>
      <c r="AP41" s="116"/>
      <c r="AQ41" s="114"/>
      <c r="AR41" s="114"/>
      <c r="AS41" s="115">
        <f t="shared" si="6"/>
        <v>0</v>
      </c>
      <c r="AT41" s="114"/>
      <c r="AU41" s="114"/>
      <c r="AV41" s="114"/>
      <c r="AW41" s="117">
        <f t="shared" si="31"/>
        <v>0</v>
      </c>
      <c r="AX41" s="114"/>
      <c r="AY41" s="114"/>
      <c r="AZ41" s="114"/>
      <c r="BA41" s="115">
        <f t="shared" si="7"/>
        <v>0</v>
      </c>
      <c r="BB41" s="116"/>
      <c r="BC41" s="114"/>
      <c r="BD41" s="114"/>
      <c r="BE41" s="115">
        <f t="shared" si="8"/>
        <v>0</v>
      </c>
      <c r="BF41" s="114"/>
      <c r="BG41" s="114"/>
      <c r="BH41" s="114"/>
      <c r="BI41" s="115">
        <f t="shared" si="9"/>
        <v>0</v>
      </c>
      <c r="BJ41" s="114"/>
      <c r="BK41" s="114"/>
      <c r="BL41" s="114"/>
      <c r="BM41" s="115">
        <f t="shared" si="10"/>
        <v>0</v>
      </c>
      <c r="BN41" s="114"/>
      <c r="BO41" s="114"/>
      <c r="BP41" s="114"/>
      <c r="BQ41" s="115">
        <f t="shared" si="11"/>
        <v>0</v>
      </c>
      <c r="BR41" s="114"/>
      <c r="BS41" s="114"/>
      <c r="BT41" s="114"/>
      <c r="BU41" s="115">
        <f t="shared" si="12"/>
        <v>0</v>
      </c>
      <c r="BV41" s="114"/>
      <c r="BW41" s="114"/>
      <c r="BX41" s="114"/>
      <c r="BY41" s="115">
        <f t="shared" si="13"/>
        <v>0</v>
      </c>
      <c r="BZ41" s="114"/>
      <c r="CA41" s="114"/>
      <c r="CB41" s="114"/>
      <c r="CC41" s="115">
        <f t="shared" si="14"/>
        <v>0</v>
      </c>
      <c r="CD41" s="5"/>
      <c r="CE41" s="114"/>
      <c r="CF41" s="114"/>
      <c r="CG41" s="115">
        <f t="shared" si="15"/>
        <v>0</v>
      </c>
      <c r="CI41" s="114"/>
      <c r="CJ41" s="114"/>
      <c r="CK41" s="115">
        <f t="shared" si="16"/>
        <v>0</v>
      </c>
      <c r="CM41" s="114"/>
      <c r="CN41" s="114"/>
      <c r="CO41" s="115">
        <f t="shared" si="17"/>
        <v>0</v>
      </c>
      <c r="CP41" s="114"/>
      <c r="CQ41" s="114"/>
      <c r="CR41" s="114"/>
      <c r="CS41" s="115">
        <f t="shared" si="18"/>
        <v>0</v>
      </c>
      <c r="CT41" s="114"/>
      <c r="CU41" s="114"/>
      <c r="CV41" s="114"/>
      <c r="CW41" s="115">
        <f t="shared" si="19"/>
        <v>0</v>
      </c>
      <c r="CX41" s="114"/>
      <c r="CY41" s="114"/>
      <c r="CZ41" s="114"/>
      <c r="DA41" s="115">
        <f t="shared" si="20"/>
        <v>0</v>
      </c>
      <c r="DB41" s="114"/>
      <c r="DC41" s="114"/>
      <c r="DD41" s="114"/>
      <c r="DE41" s="115">
        <f t="shared" si="21"/>
        <v>0</v>
      </c>
      <c r="DF41" s="5"/>
      <c r="DG41" s="114"/>
      <c r="DH41" s="114"/>
      <c r="DI41" s="115">
        <f t="shared" si="29"/>
        <v>0</v>
      </c>
      <c r="DK41" s="114"/>
      <c r="DL41" s="114"/>
      <c r="DM41" s="115">
        <f t="shared" si="30"/>
        <v>0</v>
      </c>
      <c r="DO41" s="107">
        <f t="shared" si="32"/>
        <v>0</v>
      </c>
      <c r="DP41"/>
      <c r="DQ41" s="129" t="str">
        <f t="shared" si="33"/>
        <v>-</v>
      </c>
      <c r="DR41"/>
      <c r="DS41" s="173" t="str">
        <f>IFERROR(RANK(DQ41,$DQ$6:$DQ$70)&amp;LOOKUP(RANK(DQ41,$DQ$6:$DQ$70),{1,2,3,4;"st","nd","rd","th"}),"-")</f>
        <v>-</v>
      </c>
      <c r="DT41" s="167">
        <f>'FIRST TERM'!DO41</f>
        <v>0</v>
      </c>
      <c r="DU41" s="168">
        <f>'SECOND TERM'!DO41</f>
        <v>0</v>
      </c>
      <c r="DV41" s="158">
        <f t="shared" si="28"/>
        <v>0</v>
      </c>
      <c r="DW41" s="177" t="str">
        <f>RANK(DV41,$DV$6:$DV$70)&amp;LOOKUP(RANK(DV41,$DV$6:$DV$70),{1,2,3,4;"st","nd","rd","th"})</f>
        <v>12th</v>
      </c>
    </row>
    <row r="42" spans="1:127">
      <c r="A42" s="75">
        <v>37</v>
      </c>
      <c r="B42" s="74"/>
      <c r="C42" s="33"/>
      <c r="D42" s="34"/>
      <c r="E42" s="35"/>
      <c r="F42"/>
      <c r="G42" s="34"/>
      <c r="H42" s="34"/>
      <c r="I42" s="34"/>
      <c r="J42" s="34"/>
      <c r="K42" s="5"/>
      <c r="L42" s="36"/>
      <c r="M42" s="36"/>
      <c r="N42" s="36"/>
      <c r="O42" s="36"/>
      <c r="P42" s="36"/>
      <c r="Q42" s="36"/>
      <c r="R42" s="5"/>
      <c r="S42" s="114"/>
      <c r="T42" s="114"/>
      <c r="U42" s="115">
        <f t="shared" si="24"/>
        <v>0</v>
      </c>
      <c r="V42" s="116"/>
      <c r="W42" s="114"/>
      <c r="X42" s="114"/>
      <c r="Y42" s="115">
        <f t="shared" si="1"/>
        <v>0</v>
      </c>
      <c r="Z42" s="116"/>
      <c r="AA42" s="114"/>
      <c r="AB42" s="114"/>
      <c r="AC42" s="115">
        <f t="shared" si="2"/>
        <v>0</v>
      </c>
      <c r="AD42" s="114"/>
      <c r="AE42" s="114"/>
      <c r="AF42" s="114"/>
      <c r="AG42" s="115">
        <f t="shared" si="3"/>
        <v>0</v>
      </c>
      <c r="AH42" s="116"/>
      <c r="AI42" s="114"/>
      <c r="AJ42" s="114"/>
      <c r="AK42" s="115">
        <f t="shared" si="4"/>
        <v>0</v>
      </c>
      <c r="AL42" s="116"/>
      <c r="AM42" s="114"/>
      <c r="AN42" s="114"/>
      <c r="AO42" s="115">
        <f t="shared" si="5"/>
        <v>0</v>
      </c>
      <c r="AP42" s="116"/>
      <c r="AQ42" s="114"/>
      <c r="AR42" s="114"/>
      <c r="AS42" s="115">
        <f t="shared" si="6"/>
        <v>0</v>
      </c>
      <c r="AT42" s="114"/>
      <c r="AU42" s="114"/>
      <c r="AV42" s="114"/>
      <c r="AW42" s="117">
        <f t="shared" si="31"/>
        <v>0</v>
      </c>
      <c r="AX42" s="114"/>
      <c r="AY42" s="114"/>
      <c r="AZ42" s="114"/>
      <c r="BA42" s="115">
        <f t="shared" si="7"/>
        <v>0</v>
      </c>
      <c r="BB42" s="116"/>
      <c r="BC42" s="114"/>
      <c r="BD42" s="114"/>
      <c r="BE42" s="115">
        <f t="shared" si="8"/>
        <v>0</v>
      </c>
      <c r="BF42" s="114"/>
      <c r="BG42" s="114"/>
      <c r="BH42" s="114"/>
      <c r="BI42" s="115">
        <f t="shared" si="9"/>
        <v>0</v>
      </c>
      <c r="BJ42" s="114"/>
      <c r="BK42" s="114"/>
      <c r="BL42" s="114"/>
      <c r="BM42" s="115">
        <f t="shared" si="10"/>
        <v>0</v>
      </c>
      <c r="BN42" s="114"/>
      <c r="BO42" s="114"/>
      <c r="BP42" s="114"/>
      <c r="BQ42" s="115">
        <f t="shared" si="11"/>
        <v>0</v>
      </c>
      <c r="BR42" s="114"/>
      <c r="BS42" s="114"/>
      <c r="BT42" s="114"/>
      <c r="BU42" s="115">
        <f t="shared" si="12"/>
        <v>0</v>
      </c>
      <c r="BV42" s="114"/>
      <c r="BW42" s="114"/>
      <c r="BX42" s="114"/>
      <c r="BY42" s="115">
        <f t="shared" si="13"/>
        <v>0</v>
      </c>
      <c r="BZ42" s="114"/>
      <c r="CA42" s="114"/>
      <c r="CB42" s="114"/>
      <c r="CC42" s="115">
        <f t="shared" si="14"/>
        <v>0</v>
      </c>
      <c r="CD42" s="5"/>
      <c r="CE42" s="114"/>
      <c r="CF42" s="114"/>
      <c r="CG42" s="115">
        <f t="shared" si="15"/>
        <v>0</v>
      </c>
      <c r="CI42" s="114"/>
      <c r="CJ42" s="114"/>
      <c r="CK42" s="115">
        <f t="shared" si="16"/>
        <v>0</v>
      </c>
      <c r="CM42" s="114"/>
      <c r="CN42" s="114"/>
      <c r="CO42" s="115">
        <f t="shared" si="17"/>
        <v>0</v>
      </c>
      <c r="CP42" s="114"/>
      <c r="CQ42" s="114"/>
      <c r="CR42" s="114"/>
      <c r="CS42" s="115">
        <f t="shared" si="18"/>
        <v>0</v>
      </c>
      <c r="CT42" s="114"/>
      <c r="CU42" s="114"/>
      <c r="CV42" s="114"/>
      <c r="CW42" s="115">
        <f t="shared" si="19"/>
        <v>0</v>
      </c>
      <c r="CX42" s="114"/>
      <c r="CY42" s="114"/>
      <c r="CZ42" s="114"/>
      <c r="DA42" s="115">
        <f t="shared" si="20"/>
        <v>0</v>
      </c>
      <c r="DB42" s="114"/>
      <c r="DC42" s="114"/>
      <c r="DD42" s="114"/>
      <c r="DE42" s="115">
        <f t="shared" si="21"/>
        <v>0</v>
      </c>
      <c r="DF42" s="5"/>
      <c r="DG42" s="114"/>
      <c r="DH42" s="114"/>
      <c r="DI42" s="115">
        <f t="shared" si="29"/>
        <v>0</v>
      </c>
      <c r="DK42" s="114"/>
      <c r="DL42" s="114"/>
      <c r="DM42" s="115">
        <f t="shared" si="30"/>
        <v>0</v>
      </c>
      <c r="DO42" s="107">
        <f t="shared" si="32"/>
        <v>0</v>
      </c>
      <c r="DP42"/>
      <c r="DQ42" s="129" t="str">
        <f t="shared" si="33"/>
        <v>-</v>
      </c>
      <c r="DR42"/>
      <c r="DS42" s="173" t="str">
        <f>IFERROR(RANK(DQ42,$DQ$6:$DQ$70)&amp;LOOKUP(RANK(DQ42,$DQ$6:$DQ$70),{1,2,3,4;"st","nd","rd","th"}),"-")</f>
        <v>-</v>
      </c>
      <c r="DT42" s="167">
        <f>'FIRST TERM'!DO42</f>
        <v>0</v>
      </c>
      <c r="DU42" s="168">
        <f>'SECOND TERM'!DO42</f>
        <v>0</v>
      </c>
      <c r="DV42" s="158">
        <f t="shared" si="28"/>
        <v>0</v>
      </c>
      <c r="DW42" s="177" t="str">
        <f>RANK(DV42,$DV$6:$DV$70)&amp;LOOKUP(RANK(DV42,$DV$6:$DV$70),{1,2,3,4;"st","nd","rd","th"})</f>
        <v>12th</v>
      </c>
    </row>
    <row r="43" spans="1:127">
      <c r="A43" s="75">
        <v>38</v>
      </c>
      <c r="B43" s="74"/>
      <c r="C43" s="33"/>
      <c r="D43" s="34"/>
      <c r="E43" s="35"/>
      <c r="F43"/>
      <c r="G43" s="34"/>
      <c r="H43" s="34"/>
      <c r="I43" s="34"/>
      <c r="J43" s="34"/>
      <c r="K43" s="5"/>
      <c r="L43" s="36"/>
      <c r="M43" s="36"/>
      <c r="N43" s="36"/>
      <c r="O43" s="36"/>
      <c r="P43" s="36"/>
      <c r="Q43" s="36"/>
      <c r="R43" s="5"/>
      <c r="S43" s="114"/>
      <c r="T43" s="114"/>
      <c r="U43" s="115">
        <f t="shared" si="24"/>
        <v>0</v>
      </c>
      <c r="V43" s="116"/>
      <c r="W43" s="114"/>
      <c r="X43" s="114"/>
      <c r="Y43" s="115">
        <f t="shared" si="1"/>
        <v>0</v>
      </c>
      <c r="Z43" s="116"/>
      <c r="AA43" s="114"/>
      <c r="AB43" s="114"/>
      <c r="AC43" s="115">
        <f t="shared" si="2"/>
        <v>0</v>
      </c>
      <c r="AD43" s="114"/>
      <c r="AE43" s="114"/>
      <c r="AF43" s="114"/>
      <c r="AG43" s="115">
        <f t="shared" si="3"/>
        <v>0</v>
      </c>
      <c r="AH43" s="116"/>
      <c r="AI43" s="114"/>
      <c r="AJ43" s="114"/>
      <c r="AK43" s="115">
        <f t="shared" si="4"/>
        <v>0</v>
      </c>
      <c r="AL43" s="116"/>
      <c r="AM43" s="114"/>
      <c r="AN43" s="114"/>
      <c r="AO43" s="115">
        <f t="shared" si="5"/>
        <v>0</v>
      </c>
      <c r="AP43" s="116"/>
      <c r="AQ43" s="114"/>
      <c r="AR43" s="114"/>
      <c r="AS43" s="115">
        <f t="shared" si="6"/>
        <v>0</v>
      </c>
      <c r="AT43" s="114"/>
      <c r="AU43" s="114"/>
      <c r="AV43" s="114"/>
      <c r="AW43" s="117">
        <f t="shared" si="31"/>
        <v>0</v>
      </c>
      <c r="AX43" s="114"/>
      <c r="AY43" s="114"/>
      <c r="AZ43" s="114"/>
      <c r="BA43" s="115">
        <f t="shared" si="7"/>
        <v>0</v>
      </c>
      <c r="BB43" s="116"/>
      <c r="BC43" s="114"/>
      <c r="BD43" s="114"/>
      <c r="BE43" s="115">
        <f t="shared" si="8"/>
        <v>0</v>
      </c>
      <c r="BF43" s="114"/>
      <c r="BG43" s="114"/>
      <c r="BH43" s="114"/>
      <c r="BI43" s="115">
        <f t="shared" si="9"/>
        <v>0</v>
      </c>
      <c r="BJ43" s="114"/>
      <c r="BK43" s="114"/>
      <c r="BL43" s="114"/>
      <c r="BM43" s="115">
        <f t="shared" si="10"/>
        <v>0</v>
      </c>
      <c r="BN43" s="114"/>
      <c r="BO43" s="114"/>
      <c r="BP43" s="114"/>
      <c r="BQ43" s="115">
        <f t="shared" si="11"/>
        <v>0</v>
      </c>
      <c r="BR43" s="114"/>
      <c r="BS43" s="114"/>
      <c r="BT43" s="114"/>
      <c r="BU43" s="115">
        <f t="shared" si="12"/>
        <v>0</v>
      </c>
      <c r="BV43" s="114"/>
      <c r="BW43" s="114"/>
      <c r="BX43" s="114"/>
      <c r="BY43" s="115">
        <f t="shared" si="13"/>
        <v>0</v>
      </c>
      <c r="BZ43" s="114"/>
      <c r="CA43" s="114"/>
      <c r="CB43" s="114"/>
      <c r="CC43" s="115">
        <f t="shared" si="14"/>
        <v>0</v>
      </c>
      <c r="CD43" s="5"/>
      <c r="CE43" s="114"/>
      <c r="CF43" s="114"/>
      <c r="CG43" s="115">
        <f t="shared" si="15"/>
        <v>0</v>
      </c>
      <c r="CI43" s="114"/>
      <c r="CJ43" s="114"/>
      <c r="CK43" s="115">
        <f t="shared" si="16"/>
        <v>0</v>
      </c>
      <c r="CM43" s="114"/>
      <c r="CN43" s="114"/>
      <c r="CO43" s="115">
        <f t="shared" si="17"/>
        <v>0</v>
      </c>
      <c r="CP43" s="114"/>
      <c r="CQ43" s="114"/>
      <c r="CR43" s="114"/>
      <c r="CS43" s="115">
        <f t="shared" si="18"/>
        <v>0</v>
      </c>
      <c r="CT43" s="114"/>
      <c r="CU43" s="114"/>
      <c r="CV43" s="114"/>
      <c r="CW43" s="115">
        <f t="shared" si="19"/>
        <v>0</v>
      </c>
      <c r="CX43" s="114"/>
      <c r="CY43" s="114"/>
      <c r="CZ43" s="114"/>
      <c r="DA43" s="115">
        <f t="shared" si="20"/>
        <v>0</v>
      </c>
      <c r="DB43" s="114"/>
      <c r="DC43" s="114"/>
      <c r="DD43" s="114"/>
      <c r="DE43" s="115">
        <f t="shared" si="21"/>
        <v>0</v>
      </c>
      <c r="DF43" s="5"/>
      <c r="DG43" s="114"/>
      <c r="DH43" s="114"/>
      <c r="DI43" s="115">
        <f t="shared" si="29"/>
        <v>0</v>
      </c>
      <c r="DK43" s="114"/>
      <c r="DL43" s="114"/>
      <c r="DM43" s="115">
        <f t="shared" si="30"/>
        <v>0</v>
      </c>
      <c r="DO43" s="107">
        <f t="shared" si="32"/>
        <v>0</v>
      </c>
      <c r="DP43"/>
      <c r="DQ43" s="129" t="str">
        <f t="shared" si="33"/>
        <v>-</v>
      </c>
      <c r="DR43"/>
      <c r="DS43" s="173" t="str">
        <f>IFERROR(RANK(DQ43,$DQ$6:$DQ$70)&amp;LOOKUP(RANK(DQ43,$DQ$6:$DQ$70),{1,2,3,4;"st","nd","rd","th"}),"-")</f>
        <v>-</v>
      </c>
      <c r="DT43" s="167">
        <f>'FIRST TERM'!DO43</f>
        <v>0</v>
      </c>
      <c r="DU43" s="168">
        <f>'SECOND TERM'!DO43</f>
        <v>0</v>
      </c>
      <c r="DV43" s="158">
        <f t="shared" si="28"/>
        <v>0</v>
      </c>
      <c r="DW43" s="177" t="str">
        <f>RANK(DV43,$DV$6:$DV$70)&amp;LOOKUP(RANK(DV43,$DV$6:$DV$70),{1,2,3,4;"st","nd","rd","th"})</f>
        <v>12th</v>
      </c>
    </row>
    <row r="44" spans="1:127">
      <c r="A44" s="75">
        <v>39</v>
      </c>
      <c r="B44" s="74"/>
      <c r="C44" s="33"/>
      <c r="D44" s="34"/>
      <c r="E44" s="35"/>
      <c r="F44"/>
      <c r="G44" s="34"/>
      <c r="H44" s="34"/>
      <c r="I44" s="34"/>
      <c r="J44" s="34"/>
      <c r="K44" s="5"/>
      <c r="L44" s="36"/>
      <c r="M44" s="36"/>
      <c r="N44" s="36"/>
      <c r="O44" s="36"/>
      <c r="P44" s="36"/>
      <c r="Q44" s="36"/>
      <c r="R44" s="5"/>
      <c r="S44" s="114"/>
      <c r="T44" s="114"/>
      <c r="U44" s="115">
        <f t="shared" si="24"/>
        <v>0</v>
      </c>
      <c r="V44" s="116"/>
      <c r="W44" s="114"/>
      <c r="X44" s="114"/>
      <c r="Y44" s="115">
        <f t="shared" si="1"/>
        <v>0</v>
      </c>
      <c r="Z44" s="116"/>
      <c r="AA44" s="114"/>
      <c r="AB44" s="114"/>
      <c r="AC44" s="115">
        <f t="shared" si="2"/>
        <v>0</v>
      </c>
      <c r="AD44" s="114"/>
      <c r="AE44" s="114"/>
      <c r="AF44" s="114"/>
      <c r="AG44" s="115">
        <f t="shared" si="3"/>
        <v>0</v>
      </c>
      <c r="AH44" s="116"/>
      <c r="AI44" s="114"/>
      <c r="AJ44" s="114"/>
      <c r="AK44" s="115">
        <f t="shared" si="4"/>
        <v>0</v>
      </c>
      <c r="AL44" s="116"/>
      <c r="AM44" s="114"/>
      <c r="AN44" s="114"/>
      <c r="AO44" s="115">
        <f t="shared" si="5"/>
        <v>0</v>
      </c>
      <c r="AP44" s="116"/>
      <c r="AQ44" s="114"/>
      <c r="AR44" s="114"/>
      <c r="AS44" s="115">
        <f t="shared" si="6"/>
        <v>0</v>
      </c>
      <c r="AT44" s="114"/>
      <c r="AU44" s="114"/>
      <c r="AV44" s="114"/>
      <c r="AW44" s="117">
        <f t="shared" si="31"/>
        <v>0</v>
      </c>
      <c r="AX44" s="114"/>
      <c r="AY44" s="114"/>
      <c r="AZ44" s="114"/>
      <c r="BA44" s="115">
        <f t="shared" si="7"/>
        <v>0</v>
      </c>
      <c r="BB44" s="116"/>
      <c r="BC44" s="114"/>
      <c r="BD44" s="114"/>
      <c r="BE44" s="115">
        <f t="shared" si="8"/>
        <v>0</v>
      </c>
      <c r="BF44" s="114"/>
      <c r="BG44" s="114"/>
      <c r="BH44" s="114"/>
      <c r="BI44" s="115">
        <f t="shared" si="9"/>
        <v>0</v>
      </c>
      <c r="BJ44" s="114"/>
      <c r="BK44" s="114"/>
      <c r="BL44" s="114"/>
      <c r="BM44" s="115">
        <f t="shared" si="10"/>
        <v>0</v>
      </c>
      <c r="BN44" s="114"/>
      <c r="BO44" s="114"/>
      <c r="BP44" s="114"/>
      <c r="BQ44" s="115">
        <f t="shared" si="11"/>
        <v>0</v>
      </c>
      <c r="BR44" s="114"/>
      <c r="BS44" s="114"/>
      <c r="BT44" s="114"/>
      <c r="BU44" s="115">
        <f t="shared" si="12"/>
        <v>0</v>
      </c>
      <c r="BV44" s="114"/>
      <c r="BW44" s="114"/>
      <c r="BX44" s="114"/>
      <c r="BY44" s="115">
        <f t="shared" si="13"/>
        <v>0</v>
      </c>
      <c r="BZ44" s="114"/>
      <c r="CA44" s="114"/>
      <c r="CB44" s="114"/>
      <c r="CC44" s="115">
        <f t="shared" si="14"/>
        <v>0</v>
      </c>
      <c r="CD44" s="5"/>
      <c r="CE44" s="114"/>
      <c r="CF44" s="114"/>
      <c r="CG44" s="115">
        <f t="shared" si="15"/>
        <v>0</v>
      </c>
      <c r="CI44" s="114"/>
      <c r="CJ44" s="114"/>
      <c r="CK44" s="115">
        <f t="shared" si="16"/>
        <v>0</v>
      </c>
      <c r="CM44" s="114"/>
      <c r="CN44" s="114"/>
      <c r="CO44" s="115">
        <f t="shared" si="17"/>
        <v>0</v>
      </c>
      <c r="CP44" s="114"/>
      <c r="CQ44" s="114"/>
      <c r="CR44" s="114"/>
      <c r="CS44" s="115">
        <f t="shared" si="18"/>
        <v>0</v>
      </c>
      <c r="CT44" s="114"/>
      <c r="CU44" s="114"/>
      <c r="CV44" s="114"/>
      <c r="CW44" s="115">
        <f t="shared" si="19"/>
        <v>0</v>
      </c>
      <c r="CX44" s="114"/>
      <c r="CY44" s="114"/>
      <c r="CZ44" s="114"/>
      <c r="DA44" s="115">
        <f t="shared" si="20"/>
        <v>0</v>
      </c>
      <c r="DB44" s="114"/>
      <c r="DC44" s="114"/>
      <c r="DD44" s="114"/>
      <c r="DE44" s="115">
        <f t="shared" si="21"/>
        <v>0</v>
      </c>
      <c r="DF44" s="5"/>
      <c r="DG44" s="114"/>
      <c r="DH44" s="114"/>
      <c r="DI44" s="115">
        <f t="shared" si="29"/>
        <v>0</v>
      </c>
      <c r="DK44" s="114"/>
      <c r="DL44" s="114"/>
      <c r="DM44" s="115">
        <f t="shared" si="30"/>
        <v>0</v>
      </c>
      <c r="DO44" s="107">
        <f t="shared" si="32"/>
        <v>0</v>
      </c>
      <c r="DP44"/>
      <c r="DQ44" s="129" t="str">
        <f t="shared" si="33"/>
        <v>-</v>
      </c>
      <c r="DR44"/>
      <c r="DS44" s="173" t="str">
        <f>IFERROR(RANK(DQ44,$DQ$6:$DQ$70)&amp;LOOKUP(RANK(DQ44,$DQ$6:$DQ$70),{1,2,3,4;"st","nd","rd","th"}),"-")</f>
        <v>-</v>
      </c>
      <c r="DT44" s="167">
        <f>'FIRST TERM'!DO44</f>
        <v>0</v>
      </c>
      <c r="DU44" s="168">
        <f>'SECOND TERM'!DO44</f>
        <v>0</v>
      </c>
      <c r="DV44" s="158">
        <f t="shared" si="28"/>
        <v>0</v>
      </c>
      <c r="DW44" s="177" t="str">
        <f>RANK(DV44,$DV$6:$DV$70)&amp;LOOKUP(RANK(DV44,$DV$6:$DV$70),{1,2,3,4;"st","nd","rd","th"})</f>
        <v>12th</v>
      </c>
    </row>
    <row r="45" spans="1:127" ht="15" thickBot="1">
      <c r="A45" s="75">
        <v>40</v>
      </c>
      <c r="B45" s="74"/>
      <c r="C45" s="37"/>
      <c r="D45" s="38"/>
      <c r="E45" s="39"/>
      <c r="F45"/>
      <c r="G45" s="34"/>
      <c r="H45" s="34"/>
      <c r="I45" s="34"/>
      <c r="J45" s="34"/>
      <c r="K45" s="5"/>
      <c r="L45" s="36"/>
      <c r="M45" s="36"/>
      <c r="N45" s="36"/>
      <c r="O45" s="36"/>
      <c r="P45" s="36"/>
      <c r="Q45" s="36"/>
      <c r="R45" s="5"/>
      <c r="S45" s="114"/>
      <c r="T45" s="114"/>
      <c r="U45" s="115">
        <f t="shared" si="24"/>
        <v>0</v>
      </c>
      <c r="V45" s="116"/>
      <c r="W45" s="114"/>
      <c r="X45" s="114"/>
      <c r="Y45" s="115">
        <f t="shared" si="1"/>
        <v>0</v>
      </c>
      <c r="Z45" s="116"/>
      <c r="AA45" s="114"/>
      <c r="AB45" s="114"/>
      <c r="AC45" s="115">
        <f t="shared" si="2"/>
        <v>0</v>
      </c>
      <c r="AD45" s="114"/>
      <c r="AE45" s="114"/>
      <c r="AF45" s="114"/>
      <c r="AG45" s="115">
        <f t="shared" si="3"/>
        <v>0</v>
      </c>
      <c r="AH45" s="116"/>
      <c r="AI45" s="114"/>
      <c r="AJ45" s="114"/>
      <c r="AK45" s="115">
        <f t="shared" si="4"/>
        <v>0</v>
      </c>
      <c r="AL45" s="116"/>
      <c r="AM45" s="114"/>
      <c r="AN45" s="114"/>
      <c r="AO45" s="115">
        <f t="shared" si="5"/>
        <v>0</v>
      </c>
      <c r="AP45" s="116"/>
      <c r="AQ45" s="114"/>
      <c r="AR45" s="114"/>
      <c r="AS45" s="115">
        <f t="shared" si="6"/>
        <v>0</v>
      </c>
      <c r="AT45" s="114"/>
      <c r="AU45" s="114"/>
      <c r="AV45" s="114"/>
      <c r="AW45" s="117">
        <f t="shared" si="31"/>
        <v>0</v>
      </c>
      <c r="AX45" s="114"/>
      <c r="AY45" s="114"/>
      <c r="AZ45" s="114"/>
      <c r="BA45" s="115">
        <f t="shared" si="7"/>
        <v>0</v>
      </c>
      <c r="BB45" s="116"/>
      <c r="BC45" s="114"/>
      <c r="BD45" s="114"/>
      <c r="BE45" s="115">
        <f t="shared" si="8"/>
        <v>0</v>
      </c>
      <c r="BF45" s="114"/>
      <c r="BG45" s="114"/>
      <c r="BH45" s="114"/>
      <c r="BI45" s="115">
        <f t="shared" si="9"/>
        <v>0</v>
      </c>
      <c r="BJ45" s="114"/>
      <c r="BK45" s="114"/>
      <c r="BL45" s="114"/>
      <c r="BM45" s="115">
        <f t="shared" si="10"/>
        <v>0</v>
      </c>
      <c r="BN45" s="114"/>
      <c r="BO45" s="114"/>
      <c r="BP45" s="114"/>
      <c r="BQ45" s="115">
        <f t="shared" si="11"/>
        <v>0</v>
      </c>
      <c r="BR45" s="114"/>
      <c r="BS45" s="114"/>
      <c r="BT45" s="114"/>
      <c r="BU45" s="115">
        <f t="shared" si="12"/>
        <v>0</v>
      </c>
      <c r="BV45" s="114"/>
      <c r="BW45" s="114"/>
      <c r="BX45" s="114"/>
      <c r="BY45" s="115">
        <f t="shared" si="13"/>
        <v>0</v>
      </c>
      <c r="BZ45" s="114"/>
      <c r="CA45" s="114"/>
      <c r="CB45" s="114"/>
      <c r="CC45" s="115">
        <f t="shared" si="14"/>
        <v>0</v>
      </c>
      <c r="CD45" s="5"/>
      <c r="CE45" s="114"/>
      <c r="CF45" s="114"/>
      <c r="CG45" s="115">
        <f t="shared" si="15"/>
        <v>0</v>
      </c>
      <c r="CI45" s="114"/>
      <c r="CJ45" s="114"/>
      <c r="CK45" s="115">
        <f t="shared" si="16"/>
        <v>0</v>
      </c>
      <c r="CM45" s="114"/>
      <c r="CN45" s="114"/>
      <c r="CO45" s="115">
        <f t="shared" si="17"/>
        <v>0</v>
      </c>
      <c r="CP45" s="114"/>
      <c r="CQ45" s="114"/>
      <c r="CR45" s="114"/>
      <c r="CS45" s="115">
        <f t="shared" si="18"/>
        <v>0</v>
      </c>
      <c r="CT45" s="114"/>
      <c r="CU45" s="114"/>
      <c r="CV45" s="114"/>
      <c r="CW45" s="115">
        <f t="shared" si="19"/>
        <v>0</v>
      </c>
      <c r="CX45" s="114"/>
      <c r="CY45" s="114"/>
      <c r="CZ45" s="114"/>
      <c r="DA45" s="115">
        <f t="shared" si="20"/>
        <v>0</v>
      </c>
      <c r="DB45" s="114"/>
      <c r="DC45" s="114"/>
      <c r="DD45" s="114"/>
      <c r="DE45" s="115">
        <f t="shared" si="21"/>
        <v>0</v>
      </c>
      <c r="DF45" s="5"/>
      <c r="DG45" s="114"/>
      <c r="DH45" s="114"/>
      <c r="DI45" s="115">
        <f t="shared" si="29"/>
        <v>0</v>
      </c>
      <c r="DK45" s="114"/>
      <c r="DL45" s="114"/>
      <c r="DM45" s="115">
        <f t="shared" si="30"/>
        <v>0</v>
      </c>
      <c r="DO45" s="107">
        <f t="shared" si="32"/>
        <v>0</v>
      </c>
      <c r="DP45"/>
      <c r="DQ45" s="129" t="str">
        <f t="shared" si="33"/>
        <v>-</v>
      </c>
      <c r="DR45"/>
      <c r="DS45" s="173" t="str">
        <f>IFERROR(RANK(DQ45,$DQ$6:$DQ$70)&amp;LOOKUP(RANK(DQ45,$DQ$6:$DQ$70),{1,2,3,4;"st","nd","rd","th"}),"-")</f>
        <v>-</v>
      </c>
      <c r="DT45" s="167">
        <f>'FIRST TERM'!DO45</f>
        <v>0</v>
      </c>
      <c r="DU45" s="168">
        <f>'SECOND TERM'!DO45</f>
        <v>0</v>
      </c>
      <c r="DV45" s="158">
        <f t="shared" si="28"/>
        <v>0</v>
      </c>
      <c r="DW45" s="177" t="str">
        <f>RANK(DV45,$DV$6:$DV$70)&amp;LOOKUP(RANK(DV45,$DV$6:$DV$70),{1,2,3,4;"st","nd","rd","th"})</f>
        <v>12th</v>
      </c>
    </row>
    <row r="46" spans="1:127" ht="15" thickBot="1">
      <c r="A46" s="75">
        <v>41</v>
      </c>
      <c r="B46" s="74"/>
      <c r="C46" s="37"/>
      <c r="D46" s="38"/>
      <c r="E46" s="39"/>
      <c r="F46"/>
      <c r="G46" s="34"/>
      <c r="H46" s="34"/>
      <c r="I46" s="34"/>
      <c r="J46" s="34"/>
      <c r="L46" s="36"/>
      <c r="M46" s="36"/>
      <c r="N46" s="36"/>
      <c r="O46" s="36"/>
      <c r="P46" s="36"/>
      <c r="Q46" s="36"/>
      <c r="S46" s="114"/>
      <c r="T46" s="114"/>
      <c r="U46" s="115">
        <f t="shared" si="24"/>
        <v>0</v>
      </c>
      <c r="V46" s="116"/>
      <c r="W46" s="114"/>
      <c r="X46" s="114"/>
      <c r="Y46" s="115">
        <f t="shared" si="1"/>
        <v>0</v>
      </c>
      <c r="Z46" s="116"/>
      <c r="AA46" s="114"/>
      <c r="AB46" s="114"/>
      <c r="AC46" s="115">
        <f t="shared" si="2"/>
        <v>0</v>
      </c>
      <c r="AD46" s="114"/>
      <c r="AE46" s="114"/>
      <c r="AF46" s="114"/>
      <c r="AG46" s="115">
        <f t="shared" si="3"/>
        <v>0</v>
      </c>
      <c r="AH46" s="116"/>
      <c r="AI46" s="114"/>
      <c r="AJ46" s="114"/>
      <c r="AK46" s="115">
        <f t="shared" si="4"/>
        <v>0</v>
      </c>
      <c r="AL46" s="116"/>
      <c r="AM46" s="114"/>
      <c r="AN46" s="114"/>
      <c r="AO46" s="115">
        <f t="shared" si="5"/>
        <v>0</v>
      </c>
      <c r="AP46" s="116"/>
      <c r="AQ46" s="114"/>
      <c r="AR46" s="114"/>
      <c r="AS46" s="115">
        <f t="shared" si="6"/>
        <v>0</v>
      </c>
      <c r="AT46" s="114"/>
      <c r="AU46" s="114"/>
      <c r="AV46" s="114"/>
      <c r="AW46" s="117">
        <f t="shared" si="31"/>
        <v>0</v>
      </c>
      <c r="AX46" s="114"/>
      <c r="AY46" s="114"/>
      <c r="AZ46" s="114"/>
      <c r="BA46" s="115">
        <f t="shared" si="7"/>
        <v>0</v>
      </c>
      <c r="BB46" s="116"/>
      <c r="BC46" s="114"/>
      <c r="BD46" s="114"/>
      <c r="BE46" s="115">
        <f t="shared" si="8"/>
        <v>0</v>
      </c>
      <c r="BF46" s="114"/>
      <c r="BG46" s="114"/>
      <c r="BH46" s="114"/>
      <c r="BI46" s="115">
        <f t="shared" si="9"/>
        <v>0</v>
      </c>
      <c r="BJ46" s="114"/>
      <c r="BK46" s="114"/>
      <c r="BL46" s="114"/>
      <c r="BM46" s="115">
        <f t="shared" si="10"/>
        <v>0</v>
      </c>
      <c r="BN46" s="114"/>
      <c r="BO46" s="114"/>
      <c r="BP46" s="114"/>
      <c r="BQ46" s="115">
        <f t="shared" si="11"/>
        <v>0</v>
      </c>
      <c r="BR46" s="114"/>
      <c r="BS46" s="114"/>
      <c r="BT46" s="114"/>
      <c r="BU46" s="115">
        <f t="shared" si="12"/>
        <v>0</v>
      </c>
      <c r="BV46" s="114"/>
      <c r="BW46" s="114"/>
      <c r="BX46" s="114"/>
      <c r="BY46" s="115">
        <f t="shared" si="13"/>
        <v>0</v>
      </c>
      <c r="BZ46" s="114"/>
      <c r="CA46" s="114"/>
      <c r="CB46" s="114"/>
      <c r="CC46" s="115">
        <f t="shared" si="14"/>
        <v>0</v>
      </c>
      <c r="CE46" s="114"/>
      <c r="CF46" s="114"/>
      <c r="CG46" s="115">
        <f t="shared" si="15"/>
        <v>0</v>
      </c>
      <c r="CI46" s="114"/>
      <c r="CJ46" s="114"/>
      <c r="CK46" s="115">
        <f t="shared" si="16"/>
        <v>0</v>
      </c>
      <c r="CM46" s="114"/>
      <c r="CN46" s="114"/>
      <c r="CO46" s="115">
        <f t="shared" si="17"/>
        <v>0</v>
      </c>
      <c r="CP46" s="114"/>
      <c r="CQ46" s="114"/>
      <c r="CR46" s="114"/>
      <c r="CS46" s="115">
        <f t="shared" si="18"/>
        <v>0</v>
      </c>
      <c r="CT46" s="114"/>
      <c r="CU46" s="114"/>
      <c r="CV46" s="114"/>
      <c r="CW46" s="115">
        <f t="shared" si="19"/>
        <v>0</v>
      </c>
      <c r="CX46" s="114"/>
      <c r="CY46" s="114"/>
      <c r="CZ46" s="114"/>
      <c r="DA46" s="115">
        <f t="shared" si="20"/>
        <v>0</v>
      </c>
      <c r="DB46" s="114"/>
      <c r="DC46" s="114"/>
      <c r="DD46" s="114"/>
      <c r="DE46" s="115">
        <f t="shared" si="21"/>
        <v>0</v>
      </c>
      <c r="DG46" s="114"/>
      <c r="DH46" s="114"/>
      <c r="DI46" s="115">
        <f t="shared" si="29"/>
        <v>0</v>
      </c>
      <c r="DK46" s="114"/>
      <c r="DL46" s="114"/>
      <c r="DM46" s="115">
        <f t="shared" si="30"/>
        <v>0</v>
      </c>
      <c r="DO46" s="107">
        <f t="shared" si="32"/>
        <v>0</v>
      </c>
      <c r="DP46"/>
      <c r="DQ46" s="129" t="str">
        <f t="shared" si="33"/>
        <v>-</v>
      </c>
      <c r="DR46"/>
      <c r="DS46" s="173" t="str">
        <f>IFERROR(RANK(DQ46,$DQ$6:$DQ$70)&amp;LOOKUP(RANK(DQ46,$DQ$6:$DQ$70),{1,2,3,4;"st","nd","rd","th"}),"-")</f>
        <v>-</v>
      </c>
      <c r="DT46" s="167">
        <f>'FIRST TERM'!DO46</f>
        <v>0</v>
      </c>
      <c r="DU46" s="168">
        <f>'SECOND TERM'!DO46</f>
        <v>0</v>
      </c>
      <c r="DV46" s="158">
        <f t="shared" si="28"/>
        <v>0</v>
      </c>
      <c r="DW46" s="177" t="str">
        <f>RANK(DV46,$DV$6:$DV$70)&amp;LOOKUP(RANK(DV46,$DV$6:$DV$70),{1,2,3,4;"st","nd","rd","th"})</f>
        <v>12th</v>
      </c>
    </row>
    <row r="47" spans="1:127" ht="15" thickBot="1">
      <c r="A47" s="75">
        <v>42</v>
      </c>
      <c r="B47" s="74"/>
      <c r="C47" s="37"/>
      <c r="D47" s="38"/>
      <c r="E47" s="39"/>
      <c r="F47"/>
      <c r="G47" s="34"/>
      <c r="H47" s="34"/>
      <c r="I47" s="34"/>
      <c r="J47" s="34"/>
      <c r="L47" s="36"/>
      <c r="M47" s="36"/>
      <c r="N47" s="36"/>
      <c r="O47" s="36"/>
      <c r="P47" s="36"/>
      <c r="Q47" s="36"/>
      <c r="S47" s="114"/>
      <c r="T47" s="114"/>
      <c r="U47" s="115">
        <f t="shared" si="24"/>
        <v>0</v>
      </c>
      <c r="V47" s="116"/>
      <c r="W47" s="114"/>
      <c r="X47" s="114"/>
      <c r="Y47" s="115">
        <f t="shared" si="1"/>
        <v>0</v>
      </c>
      <c r="Z47" s="116"/>
      <c r="AA47" s="114"/>
      <c r="AB47" s="114"/>
      <c r="AC47" s="115">
        <f t="shared" si="2"/>
        <v>0</v>
      </c>
      <c r="AD47" s="114"/>
      <c r="AE47" s="114"/>
      <c r="AF47" s="114"/>
      <c r="AG47" s="115">
        <f t="shared" si="3"/>
        <v>0</v>
      </c>
      <c r="AH47" s="116"/>
      <c r="AI47" s="114"/>
      <c r="AJ47" s="114"/>
      <c r="AK47" s="115">
        <f t="shared" si="4"/>
        <v>0</v>
      </c>
      <c r="AL47" s="116"/>
      <c r="AM47" s="114"/>
      <c r="AN47" s="114"/>
      <c r="AO47" s="115">
        <f t="shared" si="5"/>
        <v>0</v>
      </c>
      <c r="AP47" s="116"/>
      <c r="AQ47" s="114"/>
      <c r="AR47" s="114"/>
      <c r="AS47" s="115">
        <f t="shared" si="6"/>
        <v>0</v>
      </c>
      <c r="AT47" s="114"/>
      <c r="AU47" s="114"/>
      <c r="AV47" s="114"/>
      <c r="AW47" s="117">
        <f t="shared" si="31"/>
        <v>0</v>
      </c>
      <c r="AX47" s="114"/>
      <c r="AY47" s="114"/>
      <c r="AZ47" s="114"/>
      <c r="BA47" s="115">
        <f t="shared" si="7"/>
        <v>0</v>
      </c>
      <c r="BB47" s="116"/>
      <c r="BC47" s="114"/>
      <c r="BD47" s="114"/>
      <c r="BE47" s="115">
        <f t="shared" si="8"/>
        <v>0</v>
      </c>
      <c r="BF47" s="114"/>
      <c r="BG47" s="114"/>
      <c r="BH47" s="114"/>
      <c r="BI47" s="115">
        <f t="shared" si="9"/>
        <v>0</v>
      </c>
      <c r="BJ47" s="114"/>
      <c r="BK47" s="114"/>
      <c r="BL47" s="114"/>
      <c r="BM47" s="115">
        <f t="shared" si="10"/>
        <v>0</v>
      </c>
      <c r="BN47" s="114"/>
      <c r="BO47" s="114"/>
      <c r="BP47" s="114"/>
      <c r="BQ47" s="115">
        <f t="shared" si="11"/>
        <v>0</v>
      </c>
      <c r="BR47" s="114"/>
      <c r="BS47" s="114"/>
      <c r="BT47" s="114"/>
      <c r="BU47" s="115">
        <f t="shared" si="12"/>
        <v>0</v>
      </c>
      <c r="BV47" s="114"/>
      <c r="BW47" s="114"/>
      <c r="BX47" s="114"/>
      <c r="BY47" s="115">
        <f t="shared" si="13"/>
        <v>0</v>
      </c>
      <c r="BZ47" s="114"/>
      <c r="CA47" s="114"/>
      <c r="CB47" s="114"/>
      <c r="CC47" s="115">
        <f t="shared" si="14"/>
        <v>0</v>
      </c>
      <c r="CE47" s="114"/>
      <c r="CF47" s="114"/>
      <c r="CG47" s="115">
        <f t="shared" si="15"/>
        <v>0</v>
      </c>
      <c r="CI47" s="114"/>
      <c r="CJ47" s="114"/>
      <c r="CK47" s="115">
        <f t="shared" si="16"/>
        <v>0</v>
      </c>
      <c r="CM47" s="114"/>
      <c r="CN47" s="114"/>
      <c r="CO47" s="115">
        <f t="shared" si="17"/>
        <v>0</v>
      </c>
      <c r="CP47" s="114"/>
      <c r="CQ47" s="114"/>
      <c r="CR47" s="114"/>
      <c r="CS47" s="115">
        <f t="shared" si="18"/>
        <v>0</v>
      </c>
      <c r="CT47" s="114"/>
      <c r="CU47" s="114"/>
      <c r="CV47" s="114"/>
      <c r="CW47" s="115">
        <f t="shared" si="19"/>
        <v>0</v>
      </c>
      <c r="CX47" s="114"/>
      <c r="CY47" s="114"/>
      <c r="CZ47" s="114"/>
      <c r="DA47" s="115">
        <f t="shared" si="20"/>
        <v>0</v>
      </c>
      <c r="DB47" s="114"/>
      <c r="DC47" s="114"/>
      <c r="DD47" s="114"/>
      <c r="DE47" s="115">
        <f t="shared" si="21"/>
        <v>0</v>
      </c>
      <c r="DG47" s="114"/>
      <c r="DH47" s="114"/>
      <c r="DI47" s="115">
        <f t="shared" si="29"/>
        <v>0</v>
      </c>
      <c r="DK47" s="114"/>
      <c r="DL47" s="114"/>
      <c r="DM47" s="115">
        <f t="shared" si="30"/>
        <v>0</v>
      </c>
      <c r="DO47" s="107">
        <f t="shared" si="32"/>
        <v>0</v>
      </c>
      <c r="DP47"/>
      <c r="DQ47" s="129" t="str">
        <f t="shared" si="33"/>
        <v>-</v>
      </c>
      <c r="DR47"/>
      <c r="DS47" s="173" t="str">
        <f>IFERROR(RANK(DQ47,$DQ$6:$DQ$70)&amp;LOOKUP(RANK(DQ47,$DQ$6:$DQ$70),{1,2,3,4;"st","nd","rd","th"}),"-")</f>
        <v>-</v>
      </c>
      <c r="DT47" s="167">
        <f>'FIRST TERM'!DO47</f>
        <v>0</v>
      </c>
      <c r="DU47" s="168">
        <f>'SECOND TERM'!DO47</f>
        <v>0</v>
      </c>
      <c r="DV47" s="158">
        <f t="shared" si="28"/>
        <v>0</v>
      </c>
      <c r="DW47" s="177" t="str">
        <f>RANK(DV47,$DV$6:$DV$70)&amp;LOOKUP(RANK(DV47,$DV$6:$DV$70),{1,2,3,4;"st","nd","rd","th"})</f>
        <v>12th</v>
      </c>
    </row>
    <row r="48" spans="1:127" ht="15" thickBot="1">
      <c r="A48" s="75">
        <v>43</v>
      </c>
      <c r="B48" s="74"/>
      <c r="C48" s="37"/>
      <c r="D48" s="38"/>
      <c r="E48" s="39"/>
      <c r="F48"/>
      <c r="G48" s="34"/>
      <c r="H48" s="34"/>
      <c r="I48" s="34"/>
      <c r="J48" s="34"/>
      <c r="L48" s="36"/>
      <c r="M48" s="36"/>
      <c r="N48" s="36"/>
      <c r="O48" s="36"/>
      <c r="P48" s="36"/>
      <c r="Q48" s="36"/>
      <c r="S48" s="114"/>
      <c r="T48" s="114"/>
      <c r="U48" s="115">
        <f t="shared" si="24"/>
        <v>0</v>
      </c>
      <c r="V48" s="116"/>
      <c r="W48" s="114"/>
      <c r="X48" s="114"/>
      <c r="Y48" s="115">
        <f t="shared" si="1"/>
        <v>0</v>
      </c>
      <c r="Z48" s="116"/>
      <c r="AA48" s="114"/>
      <c r="AB48" s="114"/>
      <c r="AC48" s="115">
        <f t="shared" si="2"/>
        <v>0</v>
      </c>
      <c r="AD48" s="114"/>
      <c r="AE48" s="114"/>
      <c r="AF48" s="114"/>
      <c r="AG48" s="115">
        <f t="shared" si="3"/>
        <v>0</v>
      </c>
      <c r="AH48" s="116"/>
      <c r="AI48" s="114"/>
      <c r="AJ48" s="114"/>
      <c r="AK48" s="115">
        <f t="shared" si="4"/>
        <v>0</v>
      </c>
      <c r="AL48" s="116"/>
      <c r="AM48" s="114"/>
      <c r="AN48" s="114"/>
      <c r="AO48" s="115">
        <f t="shared" si="5"/>
        <v>0</v>
      </c>
      <c r="AP48" s="116"/>
      <c r="AQ48" s="114"/>
      <c r="AR48" s="114"/>
      <c r="AS48" s="115">
        <f t="shared" si="6"/>
        <v>0</v>
      </c>
      <c r="AT48" s="114"/>
      <c r="AU48" s="114"/>
      <c r="AV48" s="114"/>
      <c r="AW48" s="117">
        <f t="shared" si="31"/>
        <v>0</v>
      </c>
      <c r="AX48" s="114"/>
      <c r="AY48" s="114"/>
      <c r="AZ48" s="114"/>
      <c r="BA48" s="115">
        <f t="shared" si="7"/>
        <v>0</v>
      </c>
      <c r="BB48" s="116"/>
      <c r="BC48" s="114"/>
      <c r="BD48" s="114"/>
      <c r="BE48" s="115">
        <f t="shared" si="8"/>
        <v>0</v>
      </c>
      <c r="BF48" s="114"/>
      <c r="BG48" s="114"/>
      <c r="BH48" s="114"/>
      <c r="BI48" s="115">
        <f t="shared" si="9"/>
        <v>0</v>
      </c>
      <c r="BJ48" s="114"/>
      <c r="BK48" s="114"/>
      <c r="BL48" s="114"/>
      <c r="BM48" s="115">
        <f t="shared" si="10"/>
        <v>0</v>
      </c>
      <c r="BN48" s="114"/>
      <c r="BO48" s="114"/>
      <c r="BP48" s="114"/>
      <c r="BQ48" s="115">
        <f t="shared" si="11"/>
        <v>0</v>
      </c>
      <c r="BR48" s="114"/>
      <c r="BS48" s="114"/>
      <c r="BT48" s="114"/>
      <c r="BU48" s="115">
        <f t="shared" si="12"/>
        <v>0</v>
      </c>
      <c r="BV48" s="114"/>
      <c r="BW48" s="114"/>
      <c r="BX48" s="114"/>
      <c r="BY48" s="115">
        <f t="shared" si="13"/>
        <v>0</v>
      </c>
      <c r="BZ48" s="114"/>
      <c r="CA48" s="114"/>
      <c r="CB48" s="114"/>
      <c r="CC48" s="115">
        <f t="shared" si="14"/>
        <v>0</v>
      </c>
      <c r="CE48" s="114"/>
      <c r="CF48" s="114"/>
      <c r="CG48" s="115">
        <f t="shared" si="15"/>
        <v>0</v>
      </c>
      <c r="CI48" s="114"/>
      <c r="CJ48" s="114"/>
      <c r="CK48" s="115">
        <f t="shared" si="16"/>
        <v>0</v>
      </c>
      <c r="CM48" s="114"/>
      <c r="CN48" s="114"/>
      <c r="CO48" s="115">
        <f t="shared" si="17"/>
        <v>0</v>
      </c>
      <c r="CP48" s="114"/>
      <c r="CQ48" s="114"/>
      <c r="CR48" s="114"/>
      <c r="CS48" s="115">
        <f t="shared" si="18"/>
        <v>0</v>
      </c>
      <c r="CT48" s="114"/>
      <c r="CU48" s="114"/>
      <c r="CV48" s="114"/>
      <c r="CW48" s="115">
        <f t="shared" si="19"/>
        <v>0</v>
      </c>
      <c r="CX48" s="114"/>
      <c r="CY48" s="114"/>
      <c r="CZ48" s="114"/>
      <c r="DA48" s="115">
        <f t="shared" si="20"/>
        <v>0</v>
      </c>
      <c r="DB48" s="114"/>
      <c r="DC48" s="114"/>
      <c r="DD48" s="114"/>
      <c r="DE48" s="115">
        <f t="shared" si="21"/>
        <v>0</v>
      </c>
      <c r="DG48" s="114"/>
      <c r="DH48" s="114"/>
      <c r="DI48" s="115">
        <f t="shared" si="29"/>
        <v>0</v>
      </c>
      <c r="DK48" s="114"/>
      <c r="DL48" s="114"/>
      <c r="DM48" s="115">
        <f t="shared" si="30"/>
        <v>0</v>
      </c>
      <c r="DO48" s="107">
        <f t="shared" si="32"/>
        <v>0</v>
      </c>
      <c r="DP48"/>
      <c r="DQ48" s="129" t="str">
        <f t="shared" si="33"/>
        <v>-</v>
      </c>
      <c r="DR48"/>
      <c r="DS48" s="173" t="str">
        <f>IFERROR(RANK(DQ48,$DQ$6:$DQ$70)&amp;LOOKUP(RANK(DQ48,$DQ$6:$DQ$70),{1,2,3,4;"st","nd","rd","th"}),"-")</f>
        <v>-</v>
      </c>
      <c r="DT48" s="167">
        <f>'FIRST TERM'!DO48</f>
        <v>0</v>
      </c>
      <c r="DU48" s="168">
        <f>'SECOND TERM'!DO48</f>
        <v>0</v>
      </c>
      <c r="DV48" s="158">
        <f t="shared" si="28"/>
        <v>0</v>
      </c>
      <c r="DW48" s="177" t="str">
        <f>RANK(DV48,$DV$6:$DV$70)&amp;LOOKUP(RANK(DV48,$DV$6:$DV$70),{1,2,3,4;"st","nd","rd","th"})</f>
        <v>12th</v>
      </c>
    </row>
    <row r="49" spans="1:127" ht="15" thickBot="1">
      <c r="A49" s="75">
        <v>44</v>
      </c>
      <c r="B49" s="74"/>
      <c r="C49" s="37"/>
      <c r="D49" s="38"/>
      <c r="E49" s="39"/>
      <c r="F49"/>
      <c r="G49" s="34"/>
      <c r="H49" s="34"/>
      <c r="I49" s="34"/>
      <c r="J49" s="34"/>
      <c r="L49" s="36"/>
      <c r="M49" s="36"/>
      <c r="N49" s="36"/>
      <c r="O49" s="36"/>
      <c r="P49" s="36"/>
      <c r="Q49" s="36"/>
      <c r="S49" s="114"/>
      <c r="T49" s="114"/>
      <c r="U49" s="115">
        <f t="shared" si="24"/>
        <v>0</v>
      </c>
      <c r="V49" s="116"/>
      <c r="W49" s="114"/>
      <c r="X49" s="114"/>
      <c r="Y49" s="115">
        <f t="shared" si="1"/>
        <v>0</v>
      </c>
      <c r="Z49" s="116"/>
      <c r="AA49" s="114"/>
      <c r="AB49" s="114"/>
      <c r="AC49" s="115">
        <f t="shared" si="2"/>
        <v>0</v>
      </c>
      <c r="AD49" s="114"/>
      <c r="AE49" s="114"/>
      <c r="AF49" s="114"/>
      <c r="AG49" s="115">
        <f t="shared" si="3"/>
        <v>0</v>
      </c>
      <c r="AH49" s="116"/>
      <c r="AI49" s="114"/>
      <c r="AJ49" s="114"/>
      <c r="AK49" s="115">
        <f t="shared" si="4"/>
        <v>0</v>
      </c>
      <c r="AL49" s="116"/>
      <c r="AM49" s="114"/>
      <c r="AN49" s="114"/>
      <c r="AO49" s="115">
        <f t="shared" si="5"/>
        <v>0</v>
      </c>
      <c r="AP49" s="116"/>
      <c r="AQ49" s="114"/>
      <c r="AR49" s="114"/>
      <c r="AS49" s="115">
        <f t="shared" si="6"/>
        <v>0</v>
      </c>
      <c r="AT49" s="114"/>
      <c r="AU49" s="114"/>
      <c r="AV49" s="114"/>
      <c r="AW49" s="117">
        <f t="shared" si="31"/>
        <v>0</v>
      </c>
      <c r="AX49" s="114"/>
      <c r="AY49" s="114"/>
      <c r="AZ49" s="114"/>
      <c r="BA49" s="115">
        <f t="shared" si="7"/>
        <v>0</v>
      </c>
      <c r="BB49" s="116"/>
      <c r="BC49" s="114"/>
      <c r="BD49" s="114"/>
      <c r="BE49" s="115">
        <f t="shared" si="8"/>
        <v>0</v>
      </c>
      <c r="BF49" s="114"/>
      <c r="BG49" s="114"/>
      <c r="BH49" s="114"/>
      <c r="BI49" s="115">
        <f t="shared" si="9"/>
        <v>0</v>
      </c>
      <c r="BJ49" s="114"/>
      <c r="BK49" s="114"/>
      <c r="BL49" s="114"/>
      <c r="BM49" s="115">
        <f t="shared" si="10"/>
        <v>0</v>
      </c>
      <c r="BN49" s="114"/>
      <c r="BO49" s="114"/>
      <c r="BP49" s="114"/>
      <c r="BQ49" s="115">
        <f t="shared" si="11"/>
        <v>0</v>
      </c>
      <c r="BR49" s="114"/>
      <c r="BS49" s="114"/>
      <c r="BT49" s="114"/>
      <c r="BU49" s="115">
        <f t="shared" si="12"/>
        <v>0</v>
      </c>
      <c r="BV49" s="114"/>
      <c r="BW49" s="114"/>
      <c r="BX49" s="114"/>
      <c r="BY49" s="115">
        <f t="shared" si="13"/>
        <v>0</v>
      </c>
      <c r="BZ49" s="114"/>
      <c r="CA49" s="114"/>
      <c r="CB49" s="114"/>
      <c r="CC49" s="115">
        <f t="shared" si="14"/>
        <v>0</v>
      </c>
      <c r="CE49" s="114"/>
      <c r="CF49" s="114"/>
      <c r="CG49" s="115">
        <f t="shared" si="15"/>
        <v>0</v>
      </c>
      <c r="CI49" s="114"/>
      <c r="CJ49" s="114"/>
      <c r="CK49" s="115">
        <f t="shared" si="16"/>
        <v>0</v>
      </c>
      <c r="CM49" s="114"/>
      <c r="CN49" s="114"/>
      <c r="CO49" s="115">
        <f t="shared" si="17"/>
        <v>0</v>
      </c>
      <c r="CP49" s="114"/>
      <c r="CQ49" s="114"/>
      <c r="CR49" s="114"/>
      <c r="CS49" s="115">
        <f t="shared" si="18"/>
        <v>0</v>
      </c>
      <c r="CT49" s="114"/>
      <c r="CU49" s="114"/>
      <c r="CV49" s="114"/>
      <c r="CW49" s="115">
        <f t="shared" si="19"/>
        <v>0</v>
      </c>
      <c r="CX49" s="114"/>
      <c r="CY49" s="114"/>
      <c r="CZ49" s="114"/>
      <c r="DA49" s="115">
        <f t="shared" si="20"/>
        <v>0</v>
      </c>
      <c r="DB49" s="114"/>
      <c r="DC49" s="114"/>
      <c r="DD49" s="114"/>
      <c r="DE49" s="115">
        <f t="shared" si="21"/>
        <v>0</v>
      </c>
      <c r="DG49" s="114"/>
      <c r="DH49" s="114"/>
      <c r="DI49" s="115">
        <f t="shared" si="29"/>
        <v>0</v>
      </c>
      <c r="DK49" s="114"/>
      <c r="DL49" s="114"/>
      <c r="DM49" s="115">
        <f t="shared" si="30"/>
        <v>0</v>
      </c>
      <c r="DO49" s="107">
        <f t="shared" si="32"/>
        <v>0</v>
      </c>
      <c r="DP49"/>
      <c r="DQ49" s="129" t="str">
        <f t="shared" si="33"/>
        <v>-</v>
      </c>
      <c r="DR49"/>
      <c r="DS49" s="173" t="str">
        <f>IFERROR(RANK(DQ49,$DQ$6:$DQ$70)&amp;LOOKUP(RANK(DQ49,$DQ$6:$DQ$70),{1,2,3,4;"st","nd","rd","th"}),"-")</f>
        <v>-</v>
      </c>
      <c r="DT49" s="167">
        <f>'FIRST TERM'!DO49</f>
        <v>0</v>
      </c>
      <c r="DU49" s="168">
        <f>'SECOND TERM'!DO49</f>
        <v>0</v>
      </c>
      <c r="DV49" s="158">
        <f t="shared" si="28"/>
        <v>0</v>
      </c>
      <c r="DW49" s="177" t="str">
        <f>RANK(DV49,$DV$6:$DV$70)&amp;LOOKUP(RANK(DV49,$DV$6:$DV$70),{1,2,3,4;"st","nd","rd","th"})</f>
        <v>12th</v>
      </c>
    </row>
    <row r="50" spans="1:127" ht="15" thickBot="1">
      <c r="A50" s="75">
        <v>45</v>
      </c>
      <c r="B50" s="74"/>
      <c r="C50" s="37"/>
      <c r="D50" s="38"/>
      <c r="E50" s="39"/>
      <c r="F50"/>
      <c r="G50" s="34"/>
      <c r="H50" s="34"/>
      <c r="I50" s="34"/>
      <c r="J50" s="34"/>
      <c r="L50" s="36"/>
      <c r="M50" s="36"/>
      <c r="N50" s="36"/>
      <c r="O50" s="36"/>
      <c r="P50" s="36"/>
      <c r="Q50" s="36"/>
      <c r="S50" s="114"/>
      <c r="T50" s="114"/>
      <c r="U50" s="115">
        <f t="shared" si="24"/>
        <v>0</v>
      </c>
      <c r="V50" s="116"/>
      <c r="W50" s="114"/>
      <c r="X50" s="114"/>
      <c r="Y50" s="115">
        <f t="shared" si="1"/>
        <v>0</v>
      </c>
      <c r="Z50" s="116"/>
      <c r="AA50" s="114"/>
      <c r="AB50" s="114"/>
      <c r="AC50" s="115">
        <f t="shared" si="2"/>
        <v>0</v>
      </c>
      <c r="AD50" s="114"/>
      <c r="AE50" s="114"/>
      <c r="AF50" s="114"/>
      <c r="AG50" s="115">
        <f t="shared" si="3"/>
        <v>0</v>
      </c>
      <c r="AH50" s="116"/>
      <c r="AI50" s="114"/>
      <c r="AJ50" s="114"/>
      <c r="AK50" s="115">
        <f t="shared" si="4"/>
        <v>0</v>
      </c>
      <c r="AL50" s="116"/>
      <c r="AM50" s="114"/>
      <c r="AN50" s="114"/>
      <c r="AO50" s="115">
        <f t="shared" si="5"/>
        <v>0</v>
      </c>
      <c r="AP50" s="116"/>
      <c r="AQ50" s="114"/>
      <c r="AR50" s="114"/>
      <c r="AS50" s="115">
        <f t="shared" si="6"/>
        <v>0</v>
      </c>
      <c r="AT50" s="114"/>
      <c r="AU50" s="114"/>
      <c r="AV50" s="114"/>
      <c r="AW50" s="117">
        <f t="shared" si="31"/>
        <v>0</v>
      </c>
      <c r="AX50" s="114"/>
      <c r="AY50" s="114"/>
      <c r="AZ50" s="114"/>
      <c r="BA50" s="115">
        <f t="shared" si="7"/>
        <v>0</v>
      </c>
      <c r="BB50" s="116"/>
      <c r="BC50" s="114"/>
      <c r="BD50" s="114"/>
      <c r="BE50" s="115">
        <f t="shared" si="8"/>
        <v>0</v>
      </c>
      <c r="BF50" s="114"/>
      <c r="BG50" s="114"/>
      <c r="BH50" s="114"/>
      <c r="BI50" s="115">
        <f t="shared" si="9"/>
        <v>0</v>
      </c>
      <c r="BJ50" s="114"/>
      <c r="BK50" s="114"/>
      <c r="BL50" s="114"/>
      <c r="BM50" s="115">
        <f t="shared" si="10"/>
        <v>0</v>
      </c>
      <c r="BN50" s="114"/>
      <c r="BO50" s="114"/>
      <c r="BP50" s="114"/>
      <c r="BQ50" s="115">
        <f t="shared" si="11"/>
        <v>0</v>
      </c>
      <c r="BR50" s="114"/>
      <c r="BS50" s="114"/>
      <c r="BT50" s="114"/>
      <c r="BU50" s="115">
        <f t="shared" si="12"/>
        <v>0</v>
      </c>
      <c r="BV50" s="114"/>
      <c r="BW50" s="114"/>
      <c r="BX50" s="114"/>
      <c r="BY50" s="115">
        <f t="shared" si="13"/>
        <v>0</v>
      </c>
      <c r="BZ50" s="114"/>
      <c r="CA50" s="114"/>
      <c r="CB50" s="114"/>
      <c r="CC50" s="115">
        <f t="shared" si="14"/>
        <v>0</v>
      </c>
      <c r="CE50" s="114"/>
      <c r="CF50" s="114"/>
      <c r="CG50" s="115">
        <f t="shared" si="15"/>
        <v>0</v>
      </c>
      <c r="CI50" s="114"/>
      <c r="CJ50" s="114"/>
      <c r="CK50" s="115">
        <f t="shared" si="16"/>
        <v>0</v>
      </c>
      <c r="CM50" s="114"/>
      <c r="CN50" s="114"/>
      <c r="CO50" s="115">
        <f t="shared" si="17"/>
        <v>0</v>
      </c>
      <c r="CP50" s="114"/>
      <c r="CQ50" s="114"/>
      <c r="CR50" s="114"/>
      <c r="CS50" s="115">
        <f t="shared" si="18"/>
        <v>0</v>
      </c>
      <c r="CT50" s="114"/>
      <c r="CU50" s="114"/>
      <c r="CV50" s="114"/>
      <c r="CW50" s="115">
        <f t="shared" si="19"/>
        <v>0</v>
      </c>
      <c r="CX50" s="114"/>
      <c r="CY50" s="114"/>
      <c r="CZ50" s="114"/>
      <c r="DA50" s="115">
        <f t="shared" si="20"/>
        <v>0</v>
      </c>
      <c r="DB50" s="114"/>
      <c r="DC50" s="114"/>
      <c r="DD50" s="114"/>
      <c r="DE50" s="115">
        <f t="shared" si="21"/>
        <v>0</v>
      </c>
      <c r="DG50" s="114"/>
      <c r="DH50" s="114"/>
      <c r="DI50" s="115">
        <f t="shared" si="29"/>
        <v>0</v>
      </c>
      <c r="DK50" s="114"/>
      <c r="DL50" s="114"/>
      <c r="DM50" s="115">
        <f t="shared" si="30"/>
        <v>0</v>
      </c>
      <c r="DO50" s="107">
        <f t="shared" si="32"/>
        <v>0</v>
      </c>
      <c r="DP50"/>
      <c r="DQ50" s="129" t="str">
        <f t="shared" si="33"/>
        <v>-</v>
      </c>
      <c r="DR50"/>
      <c r="DS50" s="173" t="str">
        <f>IFERROR(RANK(DQ50,$DQ$6:$DQ$70)&amp;LOOKUP(RANK(DQ50,$DQ$6:$DQ$70),{1,2,3,4;"st","nd","rd","th"}),"-")</f>
        <v>-</v>
      </c>
      <c r="DT50" s="167">
        <f>'FIRST TERM'!DO50</f>
        <v>0</v>
      </c>
      <c r="DU50" s="168">
        <f>'SECOND TERM'!DO50</f>
        <v>0</v>
      </c>
      <c r="DV50" s="158">
        <f t="shared" si="28"/>
        <v>0</v>
      </c>
      <c r="DW50" s="177" t="str">
        <f>RANK(DV50,$DV$6:$DV$70)&amp;LOOKUP(RANK(DV50,$DV$6:$DV$70),{1,2,3,4;"st","nd","rd","th"})</f>
        <v>12th</v>
      </c>
    </row>
    <row r="51" spans="1:127" ht="15" thickBot="1">
      <c r="A51" s="75">
        <v>46</v>
      </c>
      <c r="B51" s="74"/>
      <c r="C51" s="37"/>
      <c r="D51" s="38"/>
      <c r="E51" s="39"/>
      <c r="F51"/>
      <c r="G51" s="34"/>
      <c r="H51" s="34"/>
      <c r="I51" s="34"/>
      <c r="J51" s="34"/>
      <c r="L51" s="36"/>
      <c r="M51" s="36"/>
      <c r="N51" s="36"/>
      <c r="O51" s="36"/>
      <c r="P51" s="36"/>
      <c r="Q51" s="36"/>
      <c r="S51" s="114"/>
      <c r="T51" s="114"/>
      <c r="U51" s="115">
        <f t="shared" si="24"/>
        <v>0</v>
      </c>
      <c r="V51" s="116"/>
      <c r="W51" s="114"/>
      <c r="X51" s="114"/>
      <c r="Y51" s="115">
        <f t="shared" si="1"/>
        <v>0</v>
      </c>
      <c r="Z51" s="116"/>
      <c r="AA51" s="114"/>
      <c r="AB51" s="114"/>
      <c r="AC51" s="115">
        <f t="shared" si="2"/>
        <v>0</v>
      </c>
      <c r="AD51" s="114"/>
      <c r="AE51" s="114"/>
      <c r="AF51" s="114"/>
      <c r="AG51" s="115">
        <f t="shared" si="3"/>
        <v>0</v>
      </c>
      <c r="AH51" s="116"/>
      <c r="AI51" s="114"/>
      <c r="AJ51" s="114"/>
      <c r="AK51" s="115">
        <f t="shared" si="4"/>
        <v>0</v>
      </c>
      <c r="AL51" s="116"/>
      <c r="AM51" s="114"/>
      <c r="AN51" s="114"/>
      <c r="AO51" s="115">
        <f t="shared" si="5"/>
        <v>0</v>
      </c>
      <c r="AP51" s="116"/>
      <c r="AQ51" s="114"/>
      <c r="AR51" s="114"/>
      <c r="AS51" s="115">
        <f t="shared" si="6"/>
        <v>0</v>
      </c>
      <c r="AT51" s="114"/>
      <c r="AU51" s="114"/>
      <c r="AV51" s="114"/>
      <c r="AW51" s="117">
        <f t="shared" si="31"/>
        <v>0</v>
      </c>
      <c r="AX51" s="114"/>
      <c r="AY51" s="114"/>
      <c r="AZ51" s="114"/>
      <c r="BA51" s="115">
        <f t="shared" si="7"/>
        <v>0</v>
      </c>
      <c r="BB51" s="116"/>
      <c r="BC51" s="114"/>
      <c r="BD51" s="114"/>
      <c r="BE51" s="115">
        <f t="shared" si="8"/>
        <v>0</v>
      </c>
      <c r="BF51" s="114"/>
      <c r="BG51" s="114"/>
      <c r="BH51" s="114"/>
      <c r="BI51" s="115">
        <f t="shared" si="9"/>
        <v>0</v>
      </c>
      <c r="BJ51" s="114"/>
      <c r="BK51" s="114"/>
      <c r="BL51" s="114"/>
      <c r="BM51" s="115">
        <f t="shared" si="10"/>
        <v>0</v>
      </c>
      <c r="BN51" s="114"/>
      <c r="BO51" s="114"/>
      <c r="BP51" s="114"/>
      <c r="BQ51" s="115">
        <f t="shared" si="11"/>
        <v>0</v>
      </c>
      <c r="BR51" s="114"/>
      <c r="BS51" s="114"/>
      <c r="BT51" s="114"/>
      <c r="BU51" s="115">
        <f t="shared" si="12"/>
        <v>0</v>
      </c>
      <c r="BV51" s="114"/>
      <c r="BW51" s="114"/>
      <c r="BX51" s="114"/>
      <c r="BY51" s="115">
        <f t="shared" si="13"/>
        <v>0</v>
      </c>
      <c r="BZ51" s="114"/>
      <c r="CA51" s="114"/>
      <c r="CB51" s="114"/>
      <c r="CC51" s="115">
        <f t="shared" si="14"/>
        <v>0</v>
      </c>
      <c r="CE51" s="114"/>
      <c r="CF51" s="114"/>
      <c r="CG51" s="115">
        <f t="shared" si="15"/>
        <v>0</v>
      </c>
      <c r="CI51" s="114"/>
      <c r="CJ51" s="114"/>
      <c r="CK51" s="115">
        <f t="shared" si="16"/>
        <v>0</v>
      </c>
      <c r="CM51" s="114"/>
      <c r="CN51" s="114"/>
      <c r="CO51" s="115">
        <f t="shared" si="17"/>
        <v>0</v>
      </c>
      <c r="CP51" s="114"/>
      <c r="CQ51" s="114"/>
      <c r="CR51" s="114"/>
      <c r="CS51" s="115">
        <f t="shared" si="18"/>
        <v>0</v>
      </c>
      <c r="CT51" s="114"/>
      <c r="CU51" s="114"/>
      <c r="CV51" s="114"/>
      <c r="CW51" s="115">
        <f t="shared" si="19"/>
        <v>0</v>
      </c>
      <c r="CX51" s="114"/>
      <c r="CY51" s="114"/>
      <c r="CZ51" s="114"/>
      <c r="DA51" s="115">
        <f t="shared" si="20"/>
        <v>0</v>
      </c>
      <c r="DB51" s="114"/>
      <c r="DC51" s="114"/>
      <c r="DD51" s="114"/>
      <c r="DE51" s="115">
        <f t="shared" si="21"/>
        <v>0</v>
      </c>
      <c r="DG51" s="114"/>
      <c r="DH51" s="114"/>
      <c r="DI51" s="115">
        <f t="shared" si="29"/>
        <v>0</v>
      </c>
      <c r="DK51" s="114"/>
      <c r="DL51" s="114"/>
      <c r="DM51" s="115">
        <f t="shared" si="30"/>
        <v>0</v>
      </c>
      <c r="DO51" s="107">
        <f t="shared" si="32"/>
        <v>0</v>
      </c>
      <c r="DP51"/>
      <c r="DQ51" s="129" t="str">
        <f t="shared" si="33"/>
        <v>-</v>
      </c>
      <c r="DR51"/>
      <c r="DS51" s="173" t="str">
        <f>IFERROR(RANK(DQ51,$DQ$6:$DQ$70)&amp;LOOKUP(RANK(DQ51,$DQ$6:$DQ$70),{1,2,3,4;"st","nd","rd","th"}),"-")</f>
        <v>-</v>
      </c>
      <c r="DT51" s="167">
        <f>'FIRST TERM'!DO51</f>
        <v>0</v>
      </c>
      <c r="DU51" s="168">
        <f>'SECOND TERM'!DO51</f>
        <v>0</v>
      </c>
      <c r="DV51" s="158">
        <f t="shared" si="28"/>
        <v>0</v>
      </c>
      <c r="DW51" s="177" t="str">
        <f>RANK(DV51,$DV$6:$DV$70)&amp;LOOKUP(RANK(DV51,$DV$6:$DV$70),{1,2,3,4;"st","nd","rd","th"})</f>
        <v>12th</v>
      </c>
    </row>
    <row r="52" spans="1:127" ht="15" thickBot="1">
      <c r="A52" s="75">
        <v>47</v>
      </c>
      <c r="B52" s="74"/>
      <c r="C52" s="37"/>
      <c r="D52" s="38"/>
      <c r="E52" s="39"/>
      <c r="F52"/>
      <c r="G52" s="34"/>
      <c r="H52" s="34"/>
      <c r="I52" s="34"/>
      <c r="J52" s="34"/>
      <c r="L52" s="36"/>
      <c r="M52" s="36"/>
      <c r="N52" s="36"/>
      <c r="O52" s="36"/>
      <c r="P52" s="36"/>
      <c r="Q52" s="36"/>
      <c r="S52" s="114"/>
      <c r="T52" s="114"/>
      <c r="U52" s="115">
        <f t="shared" si="24"/>
        <v>0</v>
      </c>
      <c r="V52" s="116"/>
      <c r="W52" s="114"/>
      <c r="X52" s="114"/>
      <c r="Y52" s="115">
        <f t="shared" si="1"/>
        <v>0</v>
      </c>
      <c r="Z52" s="116"/>
      <c r="AA52" s="114"/>
      <c r="AB52" s="114"/>
      <c r="AC52" s="115">
        <f t="shared" si="2"/>
        <v>0</v>
      </c>
      <c r="AD52" s="114"/>
      <c r="AE52" s="114"/>
      <c r="AF52" s="114"/>
      <c r="AG52" s="115">
        <f t="shared" si="3"/>
        <v>0</v>
      </c>
      <c r="AH52" s="116"/>
      <c r="AI52" s="114"/>
      <c r="AJ52" s="114"/>
      <c r="AK52" s="115">
        <f t="shared" si="4"/>
        <v>0</v>
      </c>
      <c r="AL52" s="116"/>
      <c r="AM52" s="114"/>
      <c r="AN52" s="114"/>
      <c r="AO52" s="115">
        <f t="shared" si="5"/>
        <v>0</v>
      </c>
      <c r="AP52" s="116"/>
      <c r="AQ52" s="114"/>
      <c r="AR52" s="114"/>
      <c r="AS52" s="115">
        <f t="shared" si="6"/>
        <v>0</v>
      </c>
      <c r="AT52" s="114"/>
      <c r="AU52" s="114"/>
      <c r="AV52" s="114"/>
      <c r="AW52" s="117">
        <f t="shared" si="31"/>
        <v>0</v>
      </c>
      <c r="AX52" s="114"/>
      <c r="AY52" s="114"/>
      <c r="AZ52" s="114"/>
      <c r="BA52" s="115">
        <f t="shared" si="7"/>
        <v>0</v>
      </c>
      <c r="BB52" s="116"/>
      <c r="BC52" s="114"/>
      <c r="BD52" s="114"/>
      <c r="BE52" s="115">
        <f t="shared" si="8"/>
        <v>0</v>
      </c>
      <c r="BF52" s="114"/>
      <c r="BG52" s="114"/>
      <c r="BH52" s="114"/>
      <c r="BI52" s="115">
        <f t="shared" si="9"/>
        <v>0</v>
      </c>
      <c r="BJ52" s="114"/>
      <c r="BK52" s="114"/>
      <c r="BL52" s="114"/>
      <c r="BM52" s="115">
        <f t="shared" si="10"/>
        <v>0</v>
      </c>
      <c r="BN52" s="114"/>
      <c r="BO52" s="114"/>
      <c r="BP52" s="114"/>
      <c r="BQ52" s="115">
        <f t="shared" si="11"/>
        <v>0</v>
      </c>
      <c r="BR52" s="114"/>
      <c r="BS52" s="114"/>
      <c r="BT52" s="114"/>
      <c r="BU52" s="115">
        <f t="shared" si="12"/>
        <v>0</v>
      </c>
      <c r="BV52" s="114"/>
      <c r="BW52" s="114"/>
      <c r="BX52" s="114"/>
      <c r="BY52" s="115">
        <f t="shared" si="13"/>
        <v>0</v>
      </c>
      <c r="BZ52" s="114"/>
      <c r="CA52" s="114"/>
      <c r="CB52" s="114"/>
      <c r="CC52" s="115">
        <f t="shared" si="14"/>
        <v>0</v>
      </c>
      <c r="CE52" s="114"/>
      <c r="CF52" s="114"/>
      <c r="CG52" s="115">
        <f t="shared" si="15"/>
        <v>0</v>
      </c>
      <c r="CI52" s="114"/>
      <c r="CJ52" s="114"/>
      <c r="CK52" s="115">
        <f t="shared" si="16"/>
        <v>0</v>
      </c>
      <c r="CM52" s="114"/>
      <c r="CN52" s="114"/>
      <c r="CO52" s="115">
        <f t="shared" si="17"/>
        <v>0</v>
      </c>
      <c r="CP52" s="114"/>
      <c r="CQ52" s="114"/>
      <c r="CR52" s="114"/>
      <c r="CS52" s="115">
        <f t="shared" si="18"/>
        <v>0</v>
      </c>
      <c r="CT52" s="114"/>
      <c r="CU52" s="114"/>
      <c r="CV52" s="114"/>
      <c r="CW52" s="115">
        <f t="shared" si="19"/>
        <v>0</v>
      </c>
      <c r="CX52" s="114"/>
      <c r="CY52" s="114"/>
      <c r="CZ52" s="114"/>
      <c r="DA52" s="115">
        <f t="shared" si="20"/>
        <v>0</v>
      </c>
      <c r="DB52" s="114"/>
      <c r="DC52" s="114"/>
      <c r="DD52" s="114"/>
      <c r="DE52" s="115">
        <f t="shared" si="21"/>
        <v>0</v>
      </c>
      <c r="DG52" s="114"/>
      <c r="DH52" s="114"/>
      <c r="DI52" s="115">
        <f t="shared" si="29"/>
        <v>0</v>
      </c>
      <c r="DK52" s="114"/>
      <c r="DL52" s="114"/>
      <c r="DM52" s="115">
        <f t="shared" si="30"/>
        <v>0</v>
      </c>
      <c r="DO52" s="107">
        <f t="shared" si="32"/>
        <v>0</v>
      </c>
      <c r="DP52"/>
      <c r="DQ52" s="129" t="str">
        <f t="shared" si="33"/>
        <v>-</v>
      </c>
      <c r="DR52"/>
      <c r="DS52" s="173" t="str">
        <f>IFERROR(RANK(DQ52,$DQ$6:$DQ$70)&amp;LOOKUP(RANK(DQ52,$DQ$6:$DQ$70),{1,2,3,4;"st","nd","rd","th"}),"-")</f>
        <v>-</v>
      </c>
      <c r="DT52" s="167">
        <f>'FIRST TERM'!DO52</f>
        <v>0</v>
      </c>
      <c r="DU52" s="168">
        <f>'SECOND TERM'!DO52</f>
        <v>0</v>
      </c>
      <c r="DV52" s="158">
        <f t="shared" si="28"/>
        <v>0</v>
      </c>
      <c r="DW52" s="177" t="str">
        <f>RANK(DV52,$DV$6:$DV$70)&amp;LOOKUP(RANK(DV52,$DV$6:$DV$70),{1,2,3,4;"st","nd","rd","th"})</f>
        <v>12th</v>
      </c>
    </row>
    <row r="53" spans="1:127" ht="15" thickBot="1">
      <c r="A53" s="75">
        <v>48</v>
      </c>
      <c r="B53" s="74"/>
      <c r="C53" s="37"/>
      <c r="D53" s="38"/>
      <c r="E53" s="39"/>
      <c r="F53"/>
      <c r="G53" s="34"/>
      <c r="H53" s="34"/>
      <c r="I53" s="34"/>
      <c r="J53" s="34"/>
      <c r="L53" s="36"/>
      <c r="M53" s="36"/>
      <c r="N53" s="36"/>
      <c r="O53" s="36"/>
      <c r="P53" s="36"/>
      <c r="Q53" s="36"/>
      <c r="S53" s="114"/>
      <c r="T53" s="114"/>
      <c r="U53" s="115">
        <f t="shared" si="24"/>
        <v>0</v>
      </c>
      <c r="V53" s="116"/>
      <c r="W53" s="114"/>
      <c r="X53" s="114"/>
      <c r="Y53" s="115">
        <f t="shared" si="1"/>
        <v>0</v>
      </c>
      <c r="Z53" s="116"/>
      <c r="AA53" s="114"/>
      <c r="AB53" s="114"/>
      <c r="AC53" s="115">
        <f t="shared" si="2"/>
        <v>0</v>
      </c>
      <c r="AD53" s="114"/>
      <c r="AE53" s="114"/>
      <c r="AF53" s="114"/>
      <c r="AG53" s="115">
        <f t="shared" si="3"/>
        <v>0</v>
      </c>
      <c r="AH53" s="116"/>
      <c r="AI53" s="114"/>
      <c r="AJ53" s="114"/>
      <c r="AK53" s="115">
        <f t="shared" si="4"/>
        <v>0</v>
      </c>
      <c r="AL53" s="116"/>
      <c r="AM53" s="114"/>
      <c r="AN53" s="114"/>
      <c r="AO53" s="115">
        <f t="shared" si="5"/>
        <v>0</v>
      </c>
      <c r="AP53" s="116"/>
      <c r="AQ53" s="114"/>
      <c r="AR53" s="114"/>
      <c r="AS53" s="115">
        <f t="shared" si="6"/>
        <v>0</v>
      </c>
      <c r="AT53" s="114"/>
      <c r="AU53" s="114"/>
      <c r="AV53" s="114"/>
      <c r="AW53" s="117">
        <f t="shared" si="31"/>
        <v>0</v>
      </c>
      <c r="AX53" s="114"/>
      <c r="AY53" s="114"/>
      <c r="AZ53" s="114"/>
      <c r="BA53" s="115">
        <f t="shared" si="7"/>
        <v>0</v>
      </c>
      <c r="BB53" s="116"/>
      <c r="BC53" s="114"/>
      <c r="BD53" s="114"/>
      <c r="BE53" s="115">
        <f t="shared" si="8"/>
        <v>0</v>
      </c>
      <c r="BF53" s="114"/>
      <c r="BG53" s="114"/>
      <c r="BH53" s="114"/>
      <c r="BI53" s="115">
        <f t="shared" si="9"/>
        <v>0</v>
      </c>
      <c r="BJ53" s="114"/>
      <c r="BK53" s="114"/>
      <c r="BL53" s="114"/>
      <c r="BM53" s="115">
        <f t="shared" si="10"/>
        <v>0</v>
      </c>
      <c r="BN53" s="114"/>
      <c r="BO53" s="114"/>
      <c r="BP53" s="114"/>
      <c r="BQ53" s="115">
        <f t="shared" si="11"/>
        <v>0</v>
      </c>
      <c r="BR53" s="114"/>
      <c r="BS53" s="114"/>
      <c r="BT53" s="114"/>
      <c r="BU53" s="115">
        <f t="shared" si="12"/>
        <v>0</v>
      </c>
      <c r="BV53" s="114"/>
      <c r="BW53" s="114"/>
      <c r="BX53" s="114"/>
      <c r="BY53" s="115">
        <f t="shared" si="13"/>
        <v>0</v>
      </c>
      <c r="BZ53" s="114"/>
      <c r="CA53" s="114"/>
      <c r="CB53" s="114"/>
      <c r="CC53" s="115">
        <f t="shared" si="14"/>
        <v>0</v>
      </c>
      <c r="CE53" s="114"/>
      <c r="CF53" s="114"/>
      <c r="CG53" s="115">
        <f t="shared" si="15"/>
        <v>0</v>
      </c>
      <c r="CI53" s="114"/>
      <c r="CJ53" s="114"/>
      <c r="CK53" s="115">
        <f t="shared" si="16"/>
        <v>0</v>
      </c>
      <c r="CM53" s="114"/>
      <c r="CN53" s="114"/>
      <c r="CO53" s="115">
        <f t="shared" si="17"/>
        <v>0</v>
      </c>
      <c r="CP53" s="114"/>
      <c r="CQ53" s="114"/>
      <c r="CR53" s="114"/>
      <c r="CS53" s="115">
        <f t="shared" si="18"/>
        <v>0</v>
      </c>
      <c r="CT53" s="114"/>
      <c r="CU53" s="114"/>
      <c r="CV53" s="114"/>
      <c r="CW53" s="115">
        <f t="shared" si="19"/>
        <v>0</v>
      </c>
      <c r="CX53" s="114"/>
      <c r="CY53" s="114"/>
      <c r="CZ53" s="114"/>
      <c r="DA53" s="115">
        <f t="shared" si="20"/>
        <v>0</v>
      </c>
      <c r="DB53" s="114"/>
      <c r="DC53" s="114"/>
      <c r="DD53" s="114"/>
      <c r="DE53" s="115">
        <f t="shared" si="21"/>
        <v>0</v>
      </c>
      <c r="DG53" s="114"/>
      <c r="DH53" s="114"/>
      <c r="DI53" s="115">
        <f t="shared" si="29"/>
        <v>0</v>
      </c>
      <c r="DK53" s="114"/>
      <c r="DL53" s="114"/>
      <c r="DM53" s="115">
        <f t="shared" si="30"/>
        <v>0</v>
      </c>
      <c r="DO53" s="107">
        <f t="shared" si="32"/>
        <v>0</v>
      </c>
      <c r="DP53"/>
      <c r="DQ53" s="129" t="str">
        <f t="shared" si="33"/>
        <v>-</v>
      </c>
      <c r="DR53"/>
      <c r="DS53" s="173" t="str">
        <f>IFERROR(RANK(DQ53,$DQ$6:$DQ$70)&amp;LOOKUP(RANK(DQ53,$DQ$6:$DQ$70),{1,2,3,4;"st","nd","rd","th"}),"-")</f>
        <v>-</v>
      </c>
      <c r="DT53" s="167">
        <f>'FIRST TERM'!DO53</f>
        <v>0</v>
      </c>
      <c r="DU53" s="168">
        <f>'SECOND TERM'!DO53</f>
        <v>0</v>
      </c>
      <c r="DV53" s="158">
        <f t="shared" si="28"/>
        <v>0</v>
      </c>
      <c r="DW53" s="177" t="str">
        <f>RANK(DV53,$DV$6:$DV$70)&amp;LOOKUP(RANK(DV53,$DV$6:$DV$70),{1,2,3,4;"st","nd","rd","th"})</f>
        <v>12th</v>
      </c>
    </row>
    <row r="54" spans="1:127" ht="15" thickBot="1">
      <c r="A54" s="75">
        <v>49</v>
      </c>
      <c r="B54" s="74"/>
      <c r="C54" s="37"/>
      <c r="D54" s="38"/>
      <c r="E54" s="39"/>
      <c r="F54"/>
      <c r="G54" s="34"/>
      <c r="H54" s="34"/>
      <c r="I54" s="34"/>
      <c r="J54" s="34"/>
      <c r="L54" s="36"/>
      <c r="M54" s="36"/>
      <c r="N54" s="36"/>
      <c r="O54" s="36"/>
      <c r="P54" s="36"/>
      <c r="Q54" s="36"/>
      <c r="S54" s="114"/>
      <c r="T54" s="114"/>
      <c r="U54" s="115">
        <f t="shared" si="24"/>
        <v>0</v>
      </c>
      <c r="V54" s="116"/>
      <c r="W54" s="114"/>
      <c r="X54" s="114"/>
      <c r="Y54" s="115">
        <f t="shared" si="1"/>
        <v>0</v>
      </c>
      <c r="Z54" s="116"/>
      <c r="AA54" s="114"/>
      <c r="AB54" s="114"/>
      <c r="AC54" s="115">
        <f t="shared" si="2"/>
        <v>0</v>
      </c>
      <c r="AD54" s="114"/>
      <c r="AE54" s="114"/>
      <c r="AF54" s="114"/>
      <c r="AG54" s="115">
        <f t="shared" si="3"/>
        <v>0</v>
      </c>
      <c r="AH54" s="116"/>
      <c r="AI54" s="114"/>
      <c r="AJ54" s="114"/>
      <c r="AK54" s="115">
        <f t="shared" si="4"/>
        <v>0</v>
      </c>
      <c r="AL54" s="116"/>
      <c r="AM54" s="114"/>
      <c r="AN54" s="114"/>
      <c r="AO54" s="115">
        <f t="shared" si="5"/>
        <v>0</v>
      </c>
      <c r="AP54" s="116"/>
      <c r="AQ54" s="114"/>
      <c r="AR54" s="114"/>
      <c r="AS54" s="115">
        <f t="shared" si="6"/>
        <v>0</v>
      </c>
      <c r="AT54" s="114"/>
      <c r="AU54" s="114"/>
      <c r="AV54" s="114"/>
      <c r="AW54" s="117">
        <f t="shared" si="31"/>
        <v>0</v>
      </c>
      <c r="AX54" s="114"/>
      <c r="AY54" s="114"/>
      <c r="AZ54" s="114"/>
      <c r="BA54" s="115">
        <f t="shared" si="7"/>
        <v>0</v>
      </c>
      <c r="BB54" s="116"/>
      <c r="BC54" s="114"/>
      <c r="BD54" s="114"/>
      <c r="BE54" s="115">
        <f t="shared" si="8"/>
        <v>0</v>
      </c>
      <c r="BF54" s="114"/>
      <c r="BG54" s="114"/>
      <c r="BH54" s="114"/>
      <c r="BI54" s="115">
        <f t="shared" si="9"/>
        <v>0</v>
      </c>
      <c r="BJ54" s="114"/>
      <c r="BK54" s="114"/>
      <c r="BL54" s="114"/>
      <c r="BM54" s="115">
        <f t="shared" si="10"/>
        <v>0</v>
      </c>
      <c r="BN54" s="114"/>
      <c r="BO54" s="114"/>
      <c r="BP54" s="114"/>
      <c r="BQ54" s="115">
        <f t="shared" si="11"/>
        <v>0</v>
      </c>
      <c r="BR54" s="114"/>
      <c r="BS54" s="114"/>
      <c r="BT54" s="114"/>
      <c r="BU54" s="115">
        <f t="shared" si="12"/>
        <v>0</v>
      </c>
      <c r="BV54" s="114"/>
      <c r="BW54" s="114"/>
      <c r="BX54" s="114"/>
      <c r="BY54" s="115">
        <f t="shared" si="13"/>
        <v>0</v>
      </c>
      <c r="BZ54" s="114"/>
      <c r="CA54" s="114"/>
      <c r="CB54" s="114"/>
      <c r="CC54" s="115">
        <f t="shared" si="14"/>
        <v>0</v>
      </c>
      <c r="CE54" s="114"/>
      <c r="CF54" s="114"/>
      <c r="CG54" s="115">
        <f t="shared" si="15"/>
        <v>0</v>
      </c>
      <c r="CI54" s="114"/>
      <c r="CJ54" s="114"/>
      <c r="CK54" s="115">
        <f t="shared" si="16"/>
        <v>0</v>
      </c>
      <c r="CM54" s="114"/>
      <c r="CN54" s="114"/>
      <c r="CO54" s="115">
        <f t="shared" si="17"/>
        <v>0</v>
      </c>
      <c r="CP54" s="114"/>
      <c r="CQ54" s="114"/>
      <c r="CR54" s="114"/>
      <c r="CS54" s="115">
        <f t="shared" si="18"/>
        <v>0</v>
      </c>
      <c r="CT54" s="114"/>
      <c r="CU54" s="114"/>
      <c r="CV54" s="114"/>
      <c r="CW54" s="115">
        <f t="shared" si="19"/>
        <v>0</v>
      </c>
      <c r="CX54" s="114"/>
      <c r="CY54" s="114"/>
      <c r="CZ54" s="114"/>
      <c r="DA54" s="115">
        <f t="shared" si="20"/>
        <v>0</v>
      </c>
      <c r="DB54" s="114"/>
      <c r="DC54" s="114"/>
      <c r="DD54" s="114"/>
      <c r="DE54" s="115">
        <f t="shared" si="21"/>
        <v>0</v>
      </c>
      <c r="DG54" s="114"/>
      <c r="DH54" s="114"/>
      <c r="DI54" s="115">
        <f t="shared" si="29"/>
        <v>0</v>
      </c>
      <c r="DK54" s="114"/>
      <c r="DL54" s="114"/>
      <c r="DM54" s="115">
        <f t="shared" si="30"/>
        <v>0</v>
      </c>
      <c r="DO54" s="107">
        <f t="shared" si="32"/>
        <v>0</v>
      </c>
      <c r="DP54"/>
      <c r="DQ54" s="129" t="str">
        <f t="shared" si="33"/>
        <v>-</v>
      </c>
      <c r="DR54"/>
      <c r="DS54" s="173" t="str">
        <f>IFERROR(RANK(DQ54,$DQ$6:$DQ$70)&amp;LOOKUP(RANK(DQ54,$DQ$6:$DQ$70),{1,2,3,4;"st","nd","rd","th"}),"-")</f>
        <v>-</v>
      </c>
      <c r="DT54" s="167">
        <f>'FIRST TERM'!DO54</f>
        <v>0</v>
      </c>
      <c r="DU54" s="168">
        <f>'SECOND TERM'!DO54</f>
        <v>0</v>
      </c>
      <c r="DV54" s="158">
        <f t="shared" si="28"/>
        <v>0</v>
      </c>
      <c r="DW54" s="177" t="str">
        <f>RANK(DV54,$DV$6:$DV$70)&amp;LOOKUP(RANK(DV54,$DV$6:$DV$70),{1,2,3,4;"st","nd","rd","th"})</f>
        <v>12th</v>
      </c>
    </row>
    <row r="55" spans="1:127" ht="15" thickBot="1">
      <c r="A55" s="75">
        <v>50</v>
      </c>
      <c r="B55" s="74"/>
      <c r="C55" s="37"/>
      <c r="D55" s="38"/>
      <c r="E55" s="39"/>
      <c r="F55"/>
      <c r="G55" s="34"/>
      <c r="H55" s="34"/>
      <c r="I55" s="34"/>
      <c r="J55" s="34"/>
      <c r="L55" s="36"/>
      <c r="M55" s="36"/>
      <c r="N55" s="36"/>
      <c r="O55" s="36"/>
      <c r="P55" s="36"/>
      <c r="Q55" s="36"/>
      <c r="S55" s="114"/>
      <c r="T55" s="114"/>
      <c r="U55" s="115">
        <f t="shared" si="24"/>
        <v>0</v>
      </c>
      <c r="V55" s="116"/>
      <c r="W55" s="114"/>
      <c r="X55" s="114"/>
      <c r="Y55" s="115">
        <f t="shared" si="1"/>
        <v>0</v>
      </c>
      <c r="Z55" s="116"/>
      <c r="AA55" s="114"/>
      <c r="AB55" s="114"/>
      <c r="AC55" s="115">
        <f t="shared" si="2"/>
        <v>0</v>
      </c>
      <c r="AD55" s="114"/>
      <c r="AE55" s="114"/>
      <c r="AF55" s="114"/>
      <c r="AG55" s="115">
        <f t="shared" si="3"/>
        <v>0</v>
      </c>
      <c r="AH55" s="116"/>
      <c r="AI55" s="114"/>
      <c r="AJ55" s="114"/>
      <c r="AK55" s="115">
        <f t="shared" si="4"/>
        <v>0</v>
      </c>
      <c r="AL55" s="116"/>
      <c r="AM55" s="114"/>
      <c r="AN55" s="114"/>
      <c r="AO55" s="115">
        <f t="shared" si="5"/>
        <v>0</v>
      </c>
      <c r="AP55" s="116"/>
      <c r="AQ55" s="114"/>
      <c r="AR55" s="114"/>
      <c r="AS55" s="115">
        <f t="shared" si="6"/>
        <v>0</v>
      </c>
      <c r="AT55" s="114"/>
      <c r="AU55" s="114"/>
      <c r="AV55" s="114"/>
      <c r="AW55" s="117">
        <f t="shared" si="31"/>
        <v>0</v>
      </c>
      <c r="AX55" s="114"/>
      <c r="AY55" s="114"/>
      <c r="AZ55" s="114"/>
      <c r="BA55" s="115">
        <f t="shared" si="7"/>
        <v>0</v>
      </c>
      <c r="BB55" s="116"/>
      <c r="BC55" s="114"/>
      <c r="BD55" s="114"/>
      <c r="BE55" s="115">
        <f t="shared" si="8"/>
        <v>0</v>
      </c>
      <c r="BF55" s="114"/>
      <c r="BG55" s="114"/>
      <c r="BH55" s="114"/>
      <c r="BI55" s="115">
        <f t="shared" si="9"/>
        <v>0</v>
      </c>
      <c r="BJ55" s="114"/>
      <c r="BK55" s="114"/>
      <c r="BL55" s="114"/>
      <c r="BM55" s="115">
        <f t="shared" si="10"/>
        <v>0</v>
      </c>
      <c r="BN55" s="114"/>
      <c r="BO55" s="114"/>
      <c r="BP55" s="114"/>
      <c r="BQ55" s="115">
        <f t="shared" si="11"/>
        <v>0</v>
      </c>
      <c r="BR55" s="114"/>
      <c r="BS55" s="114"/>
      <c r="BT55" s="114"/>
      <c r="BU55" s="115">
        <f t="shared" si="12"/>
        <v>0</v>
      </c>
      <c r="BV55" s="114"/>
      <c r="BW55" s="114"/>
      <c r="BX55" s="114"/>
      <c r="BY55" s="115">
        <f t="shared" si="13"/>
        <v>0</v>
      </c>
      <c r="BZ55" s="114"/>
      <c r="CA55" s="114"/>
      <c r="CB55" s="114"/>
      <c r="CC55" s="115">
        <f t="shared" si="14"/>
        <v>0</v>
      </c>
      <c r="CE55" s="114"/>
      <c r="CF55" s="114"/>
      <c r="CG55" s="115">
        <f t="shared" si="15"/>
        <v>0</v>
      </c>
      <c r="CI55" s="114"/>
      <c r="CJ55" s="114"/>
      <c r="CK55" s="115">
        <f t="shared" si="16"/>
        <v>0</v>
      </c>
      <c r="CM55" s="114"/>
      <c r="CN55" s="114"/>
      <c r="CO55" s="115">
        <f t="shared" si="17"/>
        <v>0</v>
      </c>
      <c r="CP55" s="114"/>
      <c r="CQ55" s="114"/>
      <c r="CR55" s="114"/>
      <c r="CS55" s="115">
        <f t="shared" si="18"/>
        <v>0</v>
      </c>
      <c r="CT55" s="114"/>
      <c r="CU55" s="114"/>
      <c r="CV55" s="114"/>
      <c r="CW55" s="115">
        <f t="shared" si="19"/>
        <v>0</v>
      </c>
      <c r="CX55" s="114"/>
      <c r="CY55" s="114"/>
      <c r="CZ55" s="114"/>
      <c r="DA55" s="115">
        <f t="shared" si="20"/>
        <v>0</v>
      </c>
      <c r="DB55" s="114"/>
      <c r="DC55" s="114"/>
      <c r="DD55" s="114"/>
      <c r="DE55" s="115">
        <f t="shared" si="21"/>
        <v>0</v>
      </c>
      <c r="DG55" s="114"/>
      <c r="DH55" s="114"/>
      <c r="DI55" s="115">
        <f t="shared" si="29"/>
        <v>0</v>
      </c>
      <c r="DK55" s="114"/>
      <c r="DL55" s="114"/>
      <c r="DM55" s="115">
        <f t="shared" si="30"/>
        <v>0</v>
      </c>
      <c r="DO55" s="107">
        <f t="shared" si="32"/>
        <v>0</v>
      </c>
      <c r="DP55"/>
      <c r="DQ55" s="129" t="str">
        <f t="shared" si="33"/>
        <v>-</v>
      </c>
      <c r="DR55"/>
      <c r="DS55" s="173" t="str">
        <f>IFERROR(RANK(DQ55,$DQ$6:$DQ$70)&amp;LOOKUP(RANK(DQ55,$DQ$6:$DQ$70),{1,2,3,4;"st","nd","rd","th"}),"-")</f>
        <v>-</v>
      </c>
      <c r="DT55" s="167">
        <f>'FIRST TERM'!DO55</f>
        <v>0</v>
      </c>
      <c r="DU55" s="168">
        <f>'SECOND TERM'!DO55</f>
        <v>0</v>
      </c>
      <c r="DV55" s="158">
        <f t="shared" si="28"/>
        <v>0</v>
      </c>
      <c r="DW55" s="177" t="str">
        <f>RANK(DV55,$DV$6:$DV$70)&amp;LOOKUP(RANK(DV55,$DV$6:$DV$70),{1,2,3,4;"st","nd","rd","th"})</f>
        <v>12th</v>
      </c>
    </row>
    <row r="56" spans="1:127" ht="15" thickBot="1">
      <c r="A56" s="75">
        <v>51</v>
      </c>
      <c r="B56" s="74"/>
      <c r="C56" s="37"/>
      <c r="D56" s="38"/>
      <c r="E56" s="39"/>
      <c r="F56"/>
      <c r="G56" s="34"/>
      <c r="H56" s="34"/>
      <c r="I56" s="34"/>
      <c r="J56" s="34"/>
      <c r="L56" s="36"/>
      <c r="M56" s="36"/>
      <c r="N56" s="36"/>
      <c r="O56" s="36"/>
      <c r="P56" s="36"/>
      <c r="Q56" s="36"/>
      <c r="S56" s="114"/>
      <c r="T56" s="114"/>
      <c r="U56" s="115">
        <f t="shared" si="24"/>
        <v>0</v>
      </c>
      <c r="V56" s="116"/>
      <c r="W56" s="114"/>
      <c r="X56" s="114"/>
      <c r="Y56" s="115">
        <f t="shared" si="1"/>
        <v>0</v>
      </c>
      <c r="Z56" s="116"/>
      <c r="AA56" s="114"/>
      <c r="AB56" s="114"/>
      <c r="AC56" s="115">
        <f t="shared" si="2"/>
        <v>0</v>
      </c>
      <c r="AD56" s="114"/>
      <c r="AE56" s="114"/>
      <c r="AF56" s="114"/>
      <c r="AG56" s="115">
        <f t="shared" si="3"/>
        <v>0</v>
      </c>
      <c r="AH56" s="116"/>
      <c r="AI56" s="114"/>
      <c r="AJ56" s="114"/>
      <c r="AK56" s="115">
        <f t="shared" si="4"/>
        <v>0</v>
      </c>
      <c r="AL56" s="116"/>
      <c r="AM56" s="114"/>
      <c r="AN56" s="114"/>
      <c r="AO56" s="115">
        <f t="shared" si="5"/>
        <v>0</v>
      </c>
      <c r="AP56" s="116"/>
      <c r="AQ56" s="114"/>
      <c r="AR56" s="114"/>
      <c r="AS56" s="115">
        <f t="shared" si="6"/>
        <v>0</v>
      </c>
      <c r="AT56" s="114"/>
      <c r="AU56" s="114"/>
      <c r="AV56" s="114"/>
      <c r="AW56" s="117">
        <f t="shared" si="31"/>
        <v>0</v>
      </c>
      <c r="AX56" s="114"/>
      <c r="AY56" s="114"/>
      <c r="AZ56" s="114"/>
      <c r="BA56" s="115">
        <f t="shared" si="7"/>
        <v>0</v>
      </c>
      <c r="BB56" s="116"/>
      <c r="BC56" s="114"/>
      <c r="BD56" s="114"/>
      <c r="BE56" s="115">
        <f t="shared" si="8"/>
        <v>0</v>
      </c>
      <c r="BF56" s="114"/>
      <c r="BG56" s="114"/>
      <c r="BH56" s="114"/>
      <c r="BI56" s="115">
        <f t="shared" si="9"/>
        <v>0</v>
      </c>
      <c r="BJ56" s="114"/>
      <c r="BK56" s="114"/>
      <c r="BL56" s="114"/>
      <c r="BM56" s="115">
        <f t="shared" si="10"/>
        <v>0</v>
      </c>
      <c r="BN56" s="114"/>
      <c r="BO56" s="114"/>
      <c r="BP56" s="114"/>
      <c r="BQ56" s="115">
        <f t="shared" si="11"/>
        <v>0</v>
      </c>
      <c r="BR56" s="114"/>
      <c r="BS56" s="114"/>
      <c r="BT56" s="114"/>
      <c r="BU56" s="115">
        <f t="shared" si="12"/>
        <v>0</v>
      </c>
      <c r="BV56" s="114"/>
      <c r="BW56" s="114"/>
      <c r="BX56" s="114"/>
      <c r="BY56" s="115">
        <f t="shared" si="13"/>
        <v>0</v>
      </c>
      <c r="BZ56" s="114"/>
      <c r="CA56" s="114"/>
      <c r="CB56" s="114"/>
      <c r="CC56" s="115">
        <f t="shared" si="14"/>
        <v>0</v>
      </c>
      <c r="CE56" s="114"/>
      <c r="CF56" s="114"/>
      <c r="CG56" s="115">
        <f t="shared" si="15"/>
        <v>0</v>
      </c>
      <c r="CI56" s="114"/>
      <c r="CJ56" s="114"/>
      <c r="CK56" s="115">
        <f t="shared" si="16"/>
        <v>0</v>
      </c>
      <c r="CM56" s="114"/>
      <c r="CN56" s="114"/>
      <c r="CO56" s="115">
        <f t="shared" si="17"/>
        <v>0</v>
      </c>
      <c r="CP56" s="114"/>
      <c r="CQ56" s="114"/>
      <c r="CR56" s="114"/>
      <c r="CS56" s="115">
        <f t="shared" si="18"/>
        <v>0</v>
      </c>
      <c r="CT56" s="114"/>
      <c r="CU56" s="114"/>
      <c r="CV56" s="114"/>
      <c r="CW56" s="115">
        <f t="shared" si="19"/>
        <v>0</v>
      </c>
      <c r="CX56" s="114"/>
      <c r="CY56" s="114"/>
      <c r="CZ56" s="114"/>
      <c r="DA56" s="115">
        <f t="shared" si="20"/>
        <v>0</v>
      </c>
      <c r="DB56" s="114"/>
      <c r="DC56" s="114"/>
      <c r="DD56" s="114"/>
      <c r="DE56" s="115">
        <f t="shared" si="21"/>
        <v>0</v>
      </c>
      <c r="DG56" s="114"/>
      <c r="DH56" s="114"/>
      <c r="DI56" s="115">
        <f t="shared" si="29"/>
        <v>0</v>
      </c>
      <c r="DK56" s="114"/>
      <c r="DL56" s="114"/>
      <c r="DM56" s="115">
        <f t="shared" si="30"/>
        <v>0</v>
      </c>
      <c r="DO56" s="107">
        <f t="shared" si="32"/>
        <v>0</v>
      </c>
      <c r="DP56"/>
      <c r="DQ56" s="129" t="str">
        <f t="shared" si="33"/>
        <v>-</v>
      </c>
      <c r="DR56"/>
      <c r="DS56" s="173" t="str">
        <f>IFERROR(RANK(DQ56,$DQ$6:$DQ$70)&amp;LOOKUP(RANK(DQ56,$DQ$6:$DQ$70),{1,2,3,4;"st","nd","rd","th"}),"-")</f>
        <v>-</v>
      </c>
      <c r="DT56" s="167">
        <f>'FIRST TERM'!DO56</f>
        <v>0</v>
      </c>
      <c r="DU56" s="168">
        <f>'SECOND TERM'!DO56</f>
        <v>0</v>
      </c>
      <c r="DV56" s="158">
        <f t="shared" si="28"/>
        <v>0</v>
      </c>
      <c r="DW56" s="177" t="str">
        <f>RANK(DV56,$DV$6:$DV$70)&amp;LOOKUP(RANK(DV56,$DV$6:$DV$70),{1,2,3,4;"st","nd","rd","th"})</f>
        <v>12th</v>
      </c>
    </row>
    <row r="57" spans="1:127" ht="15" thickBot="1">
      <c r="A57" s="75">
        <v>52</v>
      </c>
      <c r="B57" s="74"/>
      <c r="C57" s="37"/>
      <c r="D57" s="38"/>
      <c r="E57" s="39"/>
      <c r="F57"/>
      <c r="G57" s="34"/>
      <c r="H57" s="34"/>
      <c r="I57" s="34"/>
      <c r="J57" s="34"/>
      <c r="L57" s="36"/>
      <c r="M57" s="36"/>
      <c r="N57" s="36"/>
      <c r="O57" s="36"/>
      <c r="P57" s="36"/>
      <c r="Q57" s="36"/>
      <c r="S57" s="114"/>
      <c r="T57" s="114"/>
      <c r="U57" s="115">
        <f t="shared" si="24"/>
        <v>0</v>
      </c>
      <c r="V57" s="116"/>
      <c r="W57" s="114"/>
      <c r="X57" s="114"/>
      <c r="Y57" s="115">
        <f t="shared" si="1"/>
        <v>0</v>
      </c>
      <c r="Z57" s="116"/>
      <c r="AA57" s="114"/>
      <c r="AB57" s="114"/>
      <c r="AC57" s="115">
        <f t="shared" si="2"/>
        <v>0</v>
      </c>
      <c r="AD57" s="114"/>
      <c r="AE57" s="114"/>
      <c r="AF57" s="114"/>
      <c r="AG57" s="115">
        <f t="shared" si="3"/>
        <v>0</v>
      </c>
      <c r="AH57" s="116"/>
      <c r="AI57" s="114"/>
      <c r="AJ57" s="114"/>
      <c r="AK57" s="115">
        <f t="shared" si="4"/>
        <v>0</v>
      </c>
      <c r="AL57" s="116"/>
      <c r="AM57" s="114"/>
      <c r="AN57" s="114"/>
      <c r="AO57" s="115">
        <f t="shared" si="5"/>
        <v>0</v>
      </c>
      <c r="AP57" s="116"/>
      <c r="AQ57" s="114"/>
      <c r="AR57" s="114"/>
      <c r="AS57" s="115">
        <f t="shared" si="6"/>
        <v>0</v>
      </c>
      <c r="AT57" s="114"/>
      <c r="AU57" s="114"/>
      <c r="AV57" s="114"/>
      <c r="AW57" s="117">
        <f t="shared" si="31"/>
        <v>0</v>
      </c>
      <c r="AX57" s="114"/>
      <c r="AY57" s="114"/>
      <c r="AZ57" s="114"/>
      <c r="BA57" s="115">
        <f t="shared" si="7"/>
        <v>0</v>
      </c>
      <c r="BB57" s="116"/>
      <c r="BC57" s="114"/>
      <c r="BD57" s="114"/>
      <c r="BE57" s="115">
        <f t="shared" si="8"/>
        <v>0</v>
      </c>
      <c r="BF57" s="114"/>
      <c r="BG57" s="114"/>
      <c r="BH57" s="114"/>
      <c r="BI57" s="115">
        <f t="shared" si="9"/>
        <v>0</v>
      </c>
      <c r="BJ57" s="114"/>
      <c r="BK57" s="114"/>
      <c r="BL57" s="114"/>
      <c r="BM57" s="115">
        <f t="shared" si="10"/>
        <v>0</v>
      </c>
      <c r="BN57" s="114"/>
      <c r="BO57" s="114"/>
      <c r="BP57" s="114"/>
      <c r="BQ57" s="115">
        <f t="shared" si="11"/>
        <v>0</v>
      </c>
      <c r="BR57" s="114"/>
      <c r="BS57" s="114"/>
      <c r="BT57" s="114"/>
      <c r="BU57" s="115">
        <f t="shared" si="12"/>
        <v>0</v>
      </c>
      <c r="BV57" s="114"/>
      <c r="BW57" s="114"/>
      <c r="BX57" s="114"/>
      <c r="BY57" s="115">
        <f t="shared" si="13"/>
        <v>0</v>
      </c>
      <c r="BZ57" s="114"/>
      <c r="CA57" s="114"/>
      <c r="CB57" s="114"/>
      <c r="CC57" s="115">
        <f t="shared" si="14"/>
        <v>0</v>
      </c>
      <c r="CE57" s="114"/>
      <c r="CF57" s="114"/>
      <c r="CG57" s="115">
        <f t="shared" si="15"/>
        <v>0</v>
      </c>
      <c r="CI57" s="114"/>
      <c r="CJ57" s="114"/>
      <c r="CK57" s="115">
        <f t="shared" si="16"/>
        <v>0</v>
      </c>
      <c r="CM57" s="114"/>
      <c r="CN57" s="114"/>
      <c r="CO57" s="115">
        <f t="shared" si="17"/>
        <v>0</v>
      </c>
      <c r="CP57" s="114"/>
      <c r="CQ57" s="114"/>
      <c r="CR57" s="114"/>
      <c r="CS57" s="115">
        <f t="shared" si="18"/>
        <v>0</v>
      </c>
      <c r="CT57" s="114"/>
      <c r="CU57" s="114"/>
      <c r="CV57" s="114"/>
      <c r="CW57" s="115">
        <f t="shared" si="19"/>
        <v>0</v>
      </c>
      <c r="CX57" s="114"/>
      <c r="CY57" s="114"/>
      <c r="CZ57" s="114"/>
      <c r="DA57" s="115">
        <f t="shared" si="20"/>
        <v>0</v>
      </c>
      <c r="DB57" s="114"/>
      <c r="DC57" s="114"/>
      <c r="DD57" s="114"/>
      <c r="DE57" s="115">
        <f t="shared" si="21"/>
        <v>0</v>
      </c>
      <c r="DG57" s="114"/>
      <c r="DH57" s="114"/>
      <c r="DI57" s="115">
        <f t="shared" si="29"/>
        <v>0</v>
      </c>
      <c r="DK57" s="114"/>
      <c r="DL57" s="114"/>
      <c r="DM57" s="115">
        <f t="shared" si="30"/>
        <v>0</v>
      </c>
      <c r="DO57" s="107">
        <f t="shared" si="32"/>
        <v>0</v>
      </c>
      <c r="DP57"/>
      <c r="DQ57" s="129" t="str">
        <f t="shared" si="33"/>
        <v>-</v>
      </c>
      <c r="DR57"/>
      <c r="DS57" s="173" t="str">
        <f>IFERROR(RANK(DQ57,$DQ$6:$DQ$70)&amp;LOOKUP(RANK(DQ57,$DQ$6:$DQ$70),{1,2,3,4;"st","nd","rd","th"}),"-")</f>
        <v>-</v>
      </c>
      <c r="DT57" s="167">
        <f>'FIRST TERM'!DO57</f>
        <v>0</v>
      </c>
      <c r="DU57" s="168">
        <f>'SECOND TERM'!DO57</f>
        <v>0</v>
      </c>
      <c r="DV57" s="158">
        <f t="shared" si="28"/>
        <v>0</v>
      </c>
      <c r="DW57" s="177" t="str">
        <f>RANK(DV57,$DV$6:$DV$70)&amp;LOOKUP(RANK(DV57,$DV$6:$DV$70),{1,2,3,4;"st","nd","rd","th"})</f>
        <v>12th</v>
      </c>
    </row>
    <row r="58" spans="1:127" ht="15" thickBot="1">
      <c r="A58" s="75">
        <v>53</v>
      </c>
      <c r="B58" s="74"/>
      <c r="C58" s="37"/>
      <c r="D58" s="38"/>
      <c r="E58" s="39"/>
      <c r="F58"/>
      <c r="G58" s="34"/>
      <c r="H58" s="34"/>
      <c r="I58" s="34"/>
      <c r="J58" s="34"/>
      <c r="L58" s="36"/>
      <c r="M58" s="36"/>
      <c r="N58" s="36"/>
      <c r="O58" s="36"/>
      <c r="P58" s="36"/>
      <c r="Q58" s="36"/>
      <c r="S58" s="114"/>
      <c r="T58" s="114"/>
      <c r="U58" s="115">
        <f t="shared" si="24"/>
        <v>0</v>
      </c>
      <c r="V58" s="116"/>
      <c r="W58" s="114"/>
      <c r="X58" s="114"/>
      <c r="Y58" s="115">
        <f t="shared" si="1"/>
        <v>0</v>
      </c>
      <c r="Z58" s="116"/>
      <c r="AA58" s="114"/>
      <c r="AB58" s="114"/>
      <c r="AC58" s="115">
        <f t="shared" si="2"/>
        <v>0</v>
      </c>
      <c r="AD58" s="114"/>
      <c r="AE58" s="114"/>
      <c r="AF58" s="114"/>
      <c r="AG58" s="115">
        <f t="shared" si="3"/>
        <v>0</v>
      </c>
      <c r="AH58" s="116"/>
      <c r="AI58" s="114"/>
      <c r="AJ58" s="114"/>
      <c r="AK58" s="115">
        <f t="shared" si="4"/>
        <v>0</v>
      </c>
      <c r="AL58" s="116"/>
      <c r="AM58" s="114"/>
      <c r="AN58" s="114"/>
      <c r="AO58" s="115">
        <f t="shared" si="5"/>
        <v>0</v>
      </c>
      <c r="AP58" s="116"/>
      <c r="AQ58" s="114"/>
      <c r="AR58" s="114"/>
      <c r="AS58" s="115">
        <f t="shared" si="6"/>
        <v>0</v>
      </c>
      <c r="AT58" s="114"/>
      <c r="AU58" s="114"/>
      <c r="AV58" s="114"/>
      <c r="AW58" s="117">
        <f t="shared" si="31"/>
        <v>0</v>
      </c>
      <c r="AX58" s="114"/>
      <c r="AY58" s="114"/>
      <c r="AZ58" s="114"/>
      <c r="BA58" s="115">
        <f t="shared" si="7"/>
        <v>0</v>
      </c>
      <c r="BB58" s="116"/>
      <c r="BC58" s="114"/>
      <c r="BD58" s="114"/>
      <c r="BE58" s="115">
        <f t="shared" si="8"/>
        <v>0</v>
      </c>
      <c r="BF58" s="114"/>
      <c r="BG58" s="114"/>
      <c r="BH58" s="114"/>
      <c r="BI58" s="115">
        <f t="shared" si="9"/>
        <v>0</v>
      </c>
      <c r="BJ58" s="114"/>
      <c r="BK58" s="114"/>
      <c r="BL58" s="114"/>
      <c r="BM58" s="115">
        <f t="shared" si="10"/>
        <v>0</v>
      </c>
      <c r="BN58" s="114"/>
      <c r="BO58" s="114"/>
      <c r="BP58" s="114"/>
      <c r="BQ58" s="115">
        <f t="shared" si="11"/>
        <v>0</v>
      </c>
      <c r="BR58" s="114"/>
      <c r="BS58" s="114"/>
      <c r="BT58" s="114"/>
      <c r="BU58" s="115">
        <f t="shared" si="12"/>
        <v>0</v>
      </c>
      <c r="BV58" s="114"/>
      <c r="BW58" s="114"/>
      <c r="BX58" s="114"/>
      <c r="BY58" s="115">
        <f t="shared" si="13"/>
        <v>0</v>
      </c>
      <c r="BZ58" s="114"/>
      <c r="CA58" s="114"/>
      <c r="CB58" s="114"/>
      <c r="CC58" s="115">
        <f t="shared" si="14"/>
        <v>0</v>
      </c>
      <c r="CE58" s="114"/>
      <c r="CF58" s="114"/>
      <c r="CG58" s="115">
        <f t="shared" si="15"/>
        <v>0</v>
      </c>
      <c r="CI58" s="114"/>
      <c r="CJ58" s="114"/>
      <c r="CK58" s="115">
        <f t="shared" si="16"/>
        <v>0</v>
      </c>
      <c r="CM58" s="114"/>
      <c r="CN58" s="114"/>
      <c r="CO58" s="115">
        <f t="shared" si="17"/>
        <v>0</v>
      </c>
      <c r="CP58" s="114"/>
      <c r="CQ58" s="114"/>
      <c r="CR58" s="114"/>
      <c r="CS58" s="115">
        <f t="shared" si="18"/>
        <v>0</v>
      </c>
      <c r="CT58" s="114"/>
      <c r="CU58" s="114"/>
      <c r="CV58" s="114"/>
      <c r="CW58" s="115">
        <f t="shared" si="19"/>
        <v>0</v>
      </c>
      <c r="CX58" s="114"/>
      <c r="CY58" s="114"/>
      <c r="CZ58" s="114"/>
      <c r="DA58" s="115">
        <f t="shared" si="20"/>
        <v>0</v>
      </c>
      <c r="DB58" s="114"/>
      <c r="DC58" s="114"/>
      <c r="DD58" s="114"/>
      <c r="DE58" s="115">
        <f t="shared" si="21"/>
        <v>0</v>
      </c>
      <c r="DG58" s="114"/>
      <c r="DH58" s="114"/>
      <c r="DI58" s="115">
        <f t="shared" si="29"/>
        <v>0</v>
      </c>
      <c r="DK58" s="114"/>
      <c r="DL58" s="114"/>
      <c r="DM58" s="115">
        <f t="shared" si="30"/>
        <v>0</v>
      </c>
      <c r="DO58" s="107">
        <f t="shared" si="32"/>
        <v>0</v>
      </c>
      <c r="DP58"/>
      <c r="DQ58" s="129" t="str">
        <f t="shared" si="33"/>
        <v>-</v>
      </c>
      <c r="DR58"/>
      <c r="DS58" s="173" t="str">
        <f>IFERROR(RANK(DQ58,$DQ$6:$DQ$70)&amp;LOOKUP(RANK(DQ58,$DQ$6:$DQ$70),{1,2,3,4;"st","nd","rd","th"}),"-")</f>
        <v>-</v>
      </c>
      <c r="DT58" s="167">
        <f>'FIRST TERM'!DO58</f>
        <v>0</v>
      </c>
      <c r="DU58" s="168">
        <f>'SECOND TERM'!DO58</f>
        <v>0</v>
      </c>
      <c r="DV58" s="158">
        <f t="shared" si="28"/>
        <v>0</v>
      </c>
      <c r="DW58" s="177" t="str">
        <f>RANK(DV58,$DV$6:$DV$70)&amp;LOOKUP(RANK(DV58,$DV$6:$DV$70),{1,2,3,4;"st","nd","rd","th"})</f>
        <v>12th</v>
      </c>
    </row>
    <row r="59" spans="1:127" ht="15" thickBot="1">
      <c r="A59" s="75">
        <v>54</v>
      </c>
      <c r="B59" s="74"/>
      <c r="C59" s="37"/>
      <c r="D59" s="38"/>
      <c r="E59" s="39"/>
      <c r="F59"/>
      <c r="G59" s="34"/>
      <c r="H59" s="34"/>
      <c r="I59" s="34"/>
      <c r="J59" s="34"/>
      <c r="L59" s="36"/>
      <c r="M59" s="36"/>
      <c r="N59" s="36"/>
      <c r="O59" s="36"/>
      <c r="P59" s="36"/>
      <c r="Q59" s="36"/>
      <c r="S59" s="114"/>
      <c r="T59" s="114"/>
      <c r="U59" s="115">
        <f t="shared" si="24"/>
        <v>0</v>
      </c>
      <c r="V59" s="116"/>
      <c r="W59" s="114"/>
      <c r="X59" s="114"/>
      <c r="Y59" s="115">
        <f t="shared" si="1"/>
        <v>0</v>
      </c>
      <c r="Z59" s="116"/>
      <c r="AA59" s="114"/>
      <c r="AB59" s="114"/>
      <c r="AC59" s="115">
        <f t="shared" si="2"/>
        <v>0</v>
      </c>
      <c r="AD59" s="114"/>
      <c r="AE59" s="114"/>
      <c r="AF59" s="114"/>
      <c r="AG59" s="115">
        <f t="shared" si="3"/>
        <v>0</v>
      </c>
      <c r="AH59" s="116"/>
      <c r="AI59" s="114"/>
      <c r="AJ59" s="114"/>
      <c r="AK59" s="115">
        <f t="shared" si="4"/>
        <v>0</v>
      </c>
      <c r="AL59" s="116"/>
      <c r="AM59" s="114"/>
      <c r="AN59" s="114"/>
      <c r="AO59" s="115">
        <f t="shared" si="5"/>
        <v>0</v>
      </c>
      <c r="AP59" s="116"/>
      <c r="AQ59" s="114"/>
      <c r="AR59" s="114"/>
      <c r="AS59" s="115">
        <f t="shared" si="6"/>
        <v>0</v>
      </c>
      <c r="AT59" s="114"/>
      <c r="AU59" s="114"/>
      <c r="AV59" s="114"/>
      <c r="AW59" s="117">
        <f t="shared" si="31"/>
        <v>0</v>
      </c>
      <c r="AX59" s="114"/>
      <c r="AY59" s="114"/>
      <c r="AZ59" s="114"/>
      <c r="BA59" s="115">
        <f t="shared" si="7"/>
        <v>0</v>
      </c>
      <c r="BB59" s="116"/>
      <c r="BC59" s="114"/>
      <c r="BD59" s="114"/>
      <c r="BE59" s="115">
        <f t="shared" si="8"/>
        <v>0</v>
      </c>
      <c r="BF59" s="114"/>
      <c r="BG59" s="114"/>
      <c r="BH59" s="114"/>
      <c r="BI59" s="115">
        <f t="shared" si="9"/>
        <v>0</v>
      </c>
      <c r="BJ59" s="114"/>
      <c r="BK59" s="114"/>
      <c r="BL59" s="114"/>
      <c r="BM59" s="115">
        <f t="shared" si="10"/>
        <v>0</v>
      </c>
      <c r="BN59" s="114"/>
      <c r="BO59" s="114"/>
      <c r="BP59" s="114"/>
      <c r="BQ59" s="115">
        <f t="shared" si="11"/>
        <v>0</v>
      </c>
      <c r="BR59" s="114"/>
      <c r="BS59" s="114"/>
      <c r="BT59" s="114"/>
      <c r="BU59" s="115">
        <f t="shared" si="12"/>
        <v>0</v>
      </c>
      <c r="BV59" s="114"/>
      <c r="BW59" s="114"/>
      <c r="BX59" s="114"/>
      <c r="BY59" s="115">
        <f t="shared" si="13"/>
        <v>0</v>
      </c>
      <c r="BZ59" s="114"/>
      <c r="CA59" s="114"/>
      <c r="CB59" s="114"/>
      <c r="CC59" s="115">
        <f t="shared" si="14"/>
        <v>0</v>
      </c>
      <c r="CE59" s="114"/>
      <c r="CF59" s="114"/>
      <c r="CG59" s="115">
        <f t="shared" si="15"/>
        <v>0</v>
      </c>
      <c r="CI59" s="114"/>
      <c r="CJ59" s="114"/>
      <c r="CK59" s="115">
        <f t="shared" si="16"/>
        <v>0</v>
      </c>
      <c r="CM59" s="114"/>
      <c r="CN59" s="114"/>
      <c r="CO59" s="115">
        <f t="shared" si="17"/>
        <v>0</v>
      </c>
      <c r="CP59" s="114"/>
      <c r="CQ59" s="114"/>
      <c r="CR59" s="114"/>
      <c r="CS59" s="115">
        <f t="shared" si="18"/>
        <v>0</v>
      </c>
      <c r="CT59" s="114"/>
      <c r="CU59" s="114"/>
      <c r="CV59" s="114"/>
      <c r="CW59" s="115">
        <f t="shared" si="19"/>
        <v>0</v>
      </c>
      <c r="CX59" s="114"/>
      <c r="CY59" s="114"/>
      <c r="CZ59" s="114"/>
      <c r="DA59" s="115">
        <f t="shared" si="20"/>
        <v>0</v>
      </c>
      <c r="DB59" s="114"/>
      <c r="DC59" s="114"/>
      <c r="DD59" s="114"/>
      <c r="DE59" s="115">
        <f t="shared" si="21"/>
        <v>0</v>
      </c>
      <c r="DG59" s="114"/>
      <c r="DH59" s="114"/>
      <c r="DI59" s="115">
        <f t="shared" si="29"/>
        <v>0</v>
      </c>
      <c r="DK59" s="114"/>
      <c r="DL59" s="114"/>
      <c r="DM59" s="115">
        <f t="shared" si="30"/>
        <v>0</v>
      </c>
      <c r="DO59" s="107">
        <f t="shared" si="32"/>
        <v>0</v>
      </c>
      <c r="DP59"/>
      <c r="DQ59" s="129" t="str">
        <f t="shared" si="33"/>
        <v>-</v>
      </c>
      <c r="DR59"/>
      <c r="DS59" s="173" t="str">
        <f>IFERROR(RANK(DQ59,$DQ$6:$DQ$70)&amp;LOOKUP(RANK(DQ59,$DQ$6:$DQ$70),{1,2,3,4;"st","nd","rd","th"}),"-")</f>
        <v>-</v>
      </c>
      <c r="DT59" s="167">
        <f>'FIRST TERM'!DO59</f>
        <v>0</v>
      </c>
      <c r="DU59" s="168">
        <f>'SECOND TERM'!DO59</f>
        <v>210</v>
      </c>
      <c r="DV59" s="158">
        <f t="shared" si="28"/>
        <v>210</v>
      </c>
      <c r="DW59" s="177" t="str">
        <f>RANK(DV59,$DV$6:$DV$70)&amp;LOOKUP(RANK(DV59,$DV$6:$DV$70),{1,2,3,4;"st","nd","rd","th"})</f>
        <v>11th</v>
      </c>
    </row>
    <row r="60" spans="1:127" ht="15" thickBot="1">
      <c r="A60" s="75">
        <v>55</v>
      </c>
      <c r="B60" s="74"/>
      <c r="C60" s="37"/>
      <c r="D60" s="38"/>
      <c r="E60" s="39"/>
      <c r="F60"/>
      <c r="G60" s="34"/>
      <c r="H60" s="34"/>
      <c r="I60" s="34"/>
      <c r="J60" s="34"/>
      <c r="L60" s="36"/>
      <c r="M60" s="36"/>
      <c r="N60" s="36"/>
      <c r="O60" s="36"/>
      <c r="P60" s="36"/>
      <c r="Q60" s="36"/>
      <c r="S60" s="114"/>
      <c r="T60" s="114"/>
      <c r="U60" s="115">
        <f t="shared" si="24"/>
        <v>0</v>
      </c>
      <c r="V60" s="116"/>
      <c r="W60" s="114"/>
      <c r="X60" s="114"/>
      <c r="Y60" s="115">
        <f t="shared" si="1"/>
        <v>0</v>
      </c>
      <c r="Z60" s="116"/>
      <c r="AA60" s="114"/>
      <c r="AB60" s="114"/>
      <c r="AC60" s="115">
        <f t="shared" si="2"/>
        <v>0</v>
      </c>
      <c r="AD60" s="114"/>
      <c r="AE60" s="114"/>
      <c r="AF60" s="114"/>
      <c r="AG60" s="115">
        <f t="shared" si="3"/>
        <v>0</v>
      </c>
      <c r="AH60" s="116"/>
      <c r="AI60" s="114"/>
      <c r="AJ60" s="114"/>
      <c r="AK60" s="115">
        <f t="shared" si="4"/>
        <v>0</v>
      </c>
      <c r="AL60" s="116"/>
      <c r="AM60" s="114"/>
      <c r="AN60" s="114"/>
      <c r="AO60" s="115">
        <f t="shared" si="5"/>
        <v>0</v>
      </c>
      <c r="AP60" s="116"/>
      <c r="AQ60" s="114"/>
      <c r="AR60" s="114"/>
      <c r="AS60" s="115">
        <f t="shared" si="6"/>
        <v>0</v>
      </c>
      <c r="AT60" s="114"/>
      <c r="AU60" s="114"/>
      <c r="AV60" s="114"/>
      <c r="AW60" s="117">
        <f t="shared" si="31"/>
        <v>0</v>
      </c>
      <c r="AX60" s="114"/>
      <c r="AY60" s="114"/>
      <c r="AZ60" s="114"/>
      <c r="BA60" s="115">
        <f t="shared" si="7"/>
        <v>0</v>
      </c>
      <c r="BB60" s="116"/>
      <c r="BC60" s="114"/>
      <c r="BD60" s="114"/>
      <c r="BE60" s="115">
        <f t="shared" si="8"/>
        <v>0</v>
      </c>
      <c r="BF60" s="114"/>
      <c r="BG60" s="114"/>
      <c r="BH60" s="114"/>
      <c r="BI60" s="115">
        <f t="shared" si="9"/>
        <v>0</v>
      </c>
      <c r="BJ60" s="114"/>
      <c r="BK60" s="114"/>
      <c r="BL60" s="114"/>
      <c r="BM60" s="115">
        <f t="shared" si="10"/>
        <v>0</v>
      </c>
      <c r="BN60" s="114"/>
      <c r="BO60" s="114"/>
      <c r="BP60" s="114"/>
      <c r="BQ60" s="115">
        <f t="shared" si="11"/>
        <v>0</v>
      </c>
      <c r="BR60" s="114"/>
      <c r="BS60" s="114"/>
      <c r="BT60" s="114"/>
      <c r="BU60" s="115">
        <f t="shared" si="12"/>
        <v>0</v>
      </c>
      <c r="BV60" s="114"/>
      <c r="BW60" s="114"/>
      <c r="BX60" s="114"/>
      <c r="BY60" s="115">
        <f t="shared" si="13"/>
        <v>0</v>
      </c>
      <c r="BZ60" s="114"/>
      <c r="CA60" s="114"/>
      <c r="CB60" s="114"/>
      <c r="CC60" s="115">
        <f t="shared" si="14"/>
        <v>0</v>
      </c>
      <c r="CE60" s="114"/>
      <c r="CF60" s="114"/>
      <c r="CG60" s="115">
        <f t="shared" si="15"/>
        <v>0</v>
      </c>
      <c r="CI60" s="114"/>
      <c r="CJ60" s="114"/>
      <c r="CK60" s="115">
        <f t="shared" si="16"/>
        <v>0</v>
      </c>
      <c r="CM60" s="114"/>
      <c r="CN60" s="114"/>
      <c r="CO60" s="115">
        <f t="shared" si="17"/>
        <v>0</v>
      </c>
      <c r="CP60" s="114"/>
      <c r="CQ60" s="114"/>
      <c r="CR60" s="114"/>
      <c r="CS60" s="115">
        <f t="shared" si="18"/>
        <v>0</v>
      </c>
      <c r="CT60" s="114"/>
      <c r="CU60" s="114"/>
      <c r="CV60" s="114"/>
      <c r="CW60" s="115">
        <f t="shared" si="19"/>
        <v>0</v>
      </c>
      <c r="CX60" s="114"/>
      <c r="CY60" s="114"/>
      <c r="CZ60" s="114"/>
      <c r="DA60" s="115">
        <f t="shared" si="20"/>
        <v>0</v>
      </c>
      <c r="DB60" s="114"/>
      <c r="DC60" s="114"/>
      <c r="DD60" s="114"/>
      <c r="DE60" s="115">
        <f t="shared" si="21"/>
        <v>0</v>
      </c>
      <c r="DG60" s="114"/>
      <c r="DH60" s="114"/>
      <c r="DI60" s="115">
        <f t="shared" si="29"/>
        <v>0</v>
      </c>
      <c r="DK60" s="114"/>
      <c r="DL60" s="114"/>
      <c r="DM60" s="115">
        <f t="shared" si="30"/>
        <v>0</v>
      </c>
      <c r="DO60" s="107">
        <f t="shared" si="32"/>
        <v>0</v>
      </c>
      <c r="DP60"/>
      <c r="DQ60" s="129" t="str">
        <f t="shared" si="33"/>
        <v>-</v>
      </c>
      <c r="DR60"/>
      <c r="DS60" s="173" t="str">
        <f>IFERROR(RANK(DQ60,$DQ$6:$DQ$70)&amp;LOOKUP(RANK(DQ60,$DQ$6:$DQ$70),{1,2,3,4;"st","nd","rd","th"}),"-")</f>
        <v>-</v>
      </c>
      <c r="DT60" s="167">
        <f>'FIRST TERM'!DO60</f>
        <v>0</v>
      </c>
      <c r="DU60" s="168">
        <f>'SECOND TERM'!DO60</f>
        <v>234</v>
      </c>
      <c r="DV60" s="158">
        <f t="shared" si="28"/>
        <v>234</v>
      </c>
      <c r="DW60" s="177" t="str">
        <f>RANK(DV60,$DV$6:$DV$70)&amp;LOOKUP(RANK(DV60,$DV$6:$DV$70),{1,2,3,4;"st","nd","rd","th"})</f>
        <v>10th</v>
      </c>
    </row>
    <row r="61" spans="1:127" ht="15" thickBot="1">
      <c r="A61" s="75">
        <v>56</v>
      </c>
      <c r="B61" s="74"/>
      <c r="C61" s="37"/>
      <c r="D61" s="38"/>
      <c r="E61" s="39"/>
      <c r="F61"/>
      <c r="G61" s="34"/>
      <c r="H61" s="34"/>
      <c r="I61" s="34"/>
      <c r="J61" s="34"/>
      <c r="L61" s="36"/>
      <c r="M61" s="36"/>
      <c r="N61" s="36"/>
      <c r="O61" s="36"/>
      <c r="P61" s="36"/>
      <c r="Q61" s="36"/>
      <c r="S61" s="114"/>
      <c r="T61" s="114"/>
      <c r="U61" s="115">
        <f t="shared" si="24"/>
        <v>0</v>
      </c>
      <c r="V61" s="116"/>
      <c r="W61" s="114"/>
      <c r="X61" s="114"/>
      <c r="Y61" s="115">
        <f t="shared" si="1"/>
        <v>0</v>
      </c>
      <c r="Z61" s="116"/>
      <c r="AA61" s="114"/>
      <c r="AB61" s="114"/>
      <c r="AC61" s="115">
        <f t="shared" si="2"/>
        <v>0</v>
      </c>
      <c r="AD61" s="114"/>
      <c r="AE61" s="114"/>
      <c r="AF61" s="114"/>
      <c r="AG61" s="115">
        <f t="shared" si="3"/>
        <v>0</v>
      </c>
      <c r="AH61" s="116"/>
      <c r="AI61" s="114"/>
      <c r="AJ61" s="114"/>
      <c r="AK61" s="115">
        <f t="shared" si="4"/>
        <v>0</v>
      </c>
      <c r="AL61" s="116"/>
      <c r="AM61" s="114"/>
      <c r="AN61" s="114"/>
      <c r="AO61" s="115">
        <f t="shared" si="5"/>
        <v>0</v>
      </c>
      <c r="AP61" s="116"/>
      <c r="AQ61" s="114"/>
      <c r="AR61" s="114"/>
      <c r="AS61" s="115">
        <f t="shared" si="6"/>
        <v>0</v>
      </c>
      <c r="AT61" s="114"/>
      <c r="AU61" s="114"/>
      <c r="AV61" s="114"/>
      <c r="AW61" s="117">
        <f t="shared" si="31"/>
        <v>0</v>
      </c>
      <c r="AX61" s="114"/>
      <c r="AY61" s="114"/>
      <c r="AZ61" s="114"/>
      <c r="BA61" s="115">
        <f t="shared" si="7"/>
        <v>0</v>
      </c>
      <c r="BB61" s="116"/>
      <c r="BC61" s="114"/>
      <c r="BD61" s="114"/>
      <c r="BE61" s="115">
        <f t="shared" si="8"/>
        <v>0</v>
      </c>
      <c r="BF61" s="114"/>
      <c r="BG61" s="114"/>
      <c r="BH61" s="114"/>
      <c r="BI61" s="115">
        <f t="shared" si="9"/>
        <v>0</v>
      </c>
      <c r="BJ61" s="114"/>
      <c r="BK61" s="114"/>
      <c r="BL61" s="114"/>
      <c r="BM61" s="115">
        <f t="shared" si="10"/>
        <v>0</v>
      </c>
      <c r="BN61" s="114"/>
      <c r="BO61" s="114"/>
      <c r="BP61" s="114"/>
      <c r="BQ61" s="115">
        <f t="shared" si="11"/>
        <v>0</v>
      </c>
      <c r="BR61" s="114"/>
      <c r="BS61" s="114"/>
      <c r="BT61" s="114"/>
      <c r="BU61" s="115">
        <f t="shared" si="12"/>
        <v>0</v>
      </c>
      <c r="BV61" s="114"/>
      <c r="BW61" s="114"/>
      <c r="BX61" s="114"/>
      <c r="BY61" s="115">
        <f t="shared" si="13"/>
        <v>0</v>
      </c>
      <c r="BZ61" s="114"/>
      <c r="CA61" s="114"/>
      <c r="CB61" s="114"/>
      <c r="CC61" s="115">
        <f t="shared" si="14"/>
        <v>0</v>
      </c>
      <c r="CE61" s="114"/>
      <c r="CF61" s="114"/>
      <c r="CG61" s="115">
        <f t="shared" si="15"/>
        <v>0</v>
      </c>
      <c r="CI61" s="114"/>
      <c r="CJ61" s="114"/>
      <c r="CK61" s="115">
        <f t="shared" si="16"/>
        <v>0</v>
      </c>
      <c r="CM61" s="114"/>
      <c r="CN61" s="114"/>
      <c r="CO61" s="115">
        <f t="shared" si="17"/>
        <v>0</v>
      </c>
      <c r="CP61" s="114"/>
      <c r="CQ61" s="114"/>
      <c r="CR61" s="114"/>
      <c r="CS61" s="115">
        <f t="shared" si="18"/>
        <v>0</v>
      </c>
      <c r="CT61" s="114"/>
      <c r="CU61" s="114"/>
      <c r="CV61" s="114"/>
      <c r="CW61" s="115">
        <f t="shared" si="19"/>
        <v>0</v>
      </c>
      <c r="CX61" s="114"/>
      <c r="CY61" s="114"/>
      <c r="CZ61" s="114"/>
      <c r="DA61" s="115">
        <f t="shared" si="20"/>
        <v>0</v>
      </c>
      <c r="DB61" s="114"/>
      <c r="DC61" s="114"/>
      <c r="DD61" s="114"/>
      <c r="DE61" s="115">
        <f t="shared" si="21"/>
        <v>0</v>
      </c>
      <c r="DG61" s="114"/>
      <c r="DH61" s="114"/>
      <c r="DI61" s="115">
        <f t="shared" si="29"/>
        <v>0</v>
      </c>
      <c r="DK61" s="114"/>
      <c r="DL61" s="114"/>
      <c r="DM61" s="115">
        <f t="shared" si="30"/>
        <v>0</v>
      </c>
      <c r="DO61" s="107">
        <f t="shared" si="32"/>
        <v>0</v>
      </c>
      <c r="DP61"/>
      <c r="DQ61" s="129" t="str">
        <f t="shared" si="33"/>
        <v>-</v>
      </c>
      <c r="DR61"/>
      <c r="DS61" s="173" t="str">
        <f>IFERROR(RANK(DQ61,$DQ$6:$DQ$70)&amp;LOOKUP(RANK(DQ61,$DQ$6:$DQ$70),{1,2,3,4;"st","nd","rd","th"}),"-")</f>
        <v>-</v>
      </c>
      <c r="DT61" s="167">
        <f>'FIRST TERM'!DO61</f>
        <v>0</v>
      </c>
      <c r="DU61" s="168">
        <f>'SECOND TERM'!DO61</f>
        <v>0</v>
      </c>
      <c r="DV61" s="158">
        <f t="shared" si="28"/>
        <v>0</v>
      </c>
      <c r="DW61" s="177" t="str">
        <f>RANK(DV61,$DV$6:$DV$70)&amp;LOOKUP(RANK(DV61,$DV$6:$DV$70),{1,2,3,4;"st","nd","rd","th"})</f>
        <v>12th</v>
      </c>
    </row>
    <row r="62" spans="1:127" ht="15" thickBot="1">
      <c r="A62" s="75">
        <v>57</v>
      </c>
      <c r="B62" s="74"/>
      <c r="C62" s="37"/>
      <c r="D62" s="38"/>
      <c r="E62" s="39"/>
      <c r="F62"/>
      <c r="G62" s="34"/>
      <c r="H62" s="34"/>
      <c r="I62" s="34"/>
      <c r="J62" s="34"/>
      <c r="L62" s="36"/>
      <c r="M62" s="36"/>
      <c r="N62" s="36"/>
      <c r="O62" s="36"/>
      <c r="P62" s="36"/>
      <c r="Q62" s="36"/>
      <c r="S62" s="114"/>
      <c r="T62" s="114"/>
      <c r="U62" s="115">
        <f t="shared" si="24"/>
        <v>0</v>
      </c>
      <c r="V62" s="116"/>
      <c r="W62" s="114"/>
      <c r="X62" s="114"/>
      <c r="Y62" s="115">
        <f t="shared" si="1"/>
        <v>0</v>
      </c>
      <c r="Z62" s="116"/>
      <c r="AA62" s="114"/>
      <c r="AB62" s="114"/>
      <c r="AC62" s="115">
        <f t="shared" si="2"/>
        <v>0</v>
      </c>
      <c r="AD62" s="114"/>
      <c r="AE62" s="114"/>
      <c r="AF62" s="114"/>
      <c r="AG62" s="115">
        <f t="shared" si="3"/>
        <v>0</v>
      </c>
      <c r="AH62" s="116"/>
      <c r="AI62" s="114"/>
      <c r="AJ62" s="114"/>
      <c r="AK62" s="115">
        <f t="shared" si="4"/>
        <v>0</v>
      </c>
      <c r="AL62" s="116"/>
      <c r="AM62" s="114"/>
      <c r="AN62" s="114"/>
      <c r="AO62" s="115">
        <f t="shared" si="5"/>
        <v>0</v>
      </c>
      <c r="AP62" s="116"/>
      <c r="AQ62" s="114"/>
      <c r="AR62" s="114"/>
      <c r="AS62" s="115">
        <f t="shared" si="6"/>
        <v>0</v>
      </c>
      <c r="AT62" s="114"/>
      <c r="AU62" s="114"/>
      <c r="AV62" s="114"/>
      <c r="AW62" s="117">
        <f t="shared" si="31"/>
        <v>0</v>
      </c>
      <c r="AX62" s="114"/>
      <c r="AY62" s="114"/>
      <c r="AZ62" s="114"/>
      <c r="BA62" s="115">
        <f t="shared" si="7"/>
        <v>0</v>
      </c>
      <c r="BB62" s="116"/>
      <c r="BC62" s="114"/>
      <c r="BD62" s="114"/>
      <c r="BE62" s="115">
        <f t="shared" si="8"/>
        <v>0</v>
      </c>
      <c r="BF62" s="114"/>
      <c r="BG62" s="114"/>
      <c r="BH62" s="114"/>
      <c r="BI62" s="115">
        <f t="shared" si="9"/>
        <v>0</v>
      </c>
      <c r="BJ62" s="114"/>
      <c r="BK62" s="114"/>
      <c r="BL62" s="114"/>
      <c r="BM62" s="115">
        <f t="shared" si="10"/>
        <v>0</v>
      </c>
      <c r="BN62" s="114"/>
      <c r="BO62" s="114"/>
      <c r="BP62" s="114"/>
      <c r="BQ62" s="115">
        <f t="shared" si="11"/>
        <v>0</v>
      </c>
      <c r="BR62" s="114"/>
      <c r="BS62" s="114"/>
      <c r="BT62" s="114"/>
      <c r="BU62" s="115">
        <f t="shared" si="12"/>
        <v>0</v>
      </c>
      <c r="BV62" s="114"/>
      <c r="BW62" s="114"/>
      <c r="BX62" s="114"/>
      <c r="BY62" s="115">
        <f t="shared" si="13"/>
        <v>0</v>
      </c>
      <c r="BZ62" s="114"/>
      <c r="CA62" s="114"/>
      <c r="CB62" s="114"/>
      <c r="CC62" s="115">
        <f t="shared" si="14"/>
        <v>0</v>
      </c>
      <c r="CE62" s="114"/>
      <c r="CF62" s="114"/>
      <c r="CG62" s="115">
        <f t="shared" si="15"/>
        <v>0</v>
      </c>
      <c r="CI62" s="114"/>
      <c r="CJ62" s="114"/>
      <c r="CK62" s="115">
        <f t="shared" si="16"/>
        <v>0</v>
      </c>
      <c r="CM62" s="114"/>
      <c r="CN62" s="114"/>
      <c r="CO62" s="115">
        <f t="shared" si="17"/>
        <v>0</v>
      </c>
      <c r="CP62" s="114"/>
      <c r="CQ62" s="114"/>
      <c r="CR62" s="114"/>
      <c r="CS62" s="115">
        <f t="shared" si="18"/>
        <v>0</v>
      </c>
      <c r="CT62" s="114"/>
      <c r="CU62" s="114"/>
      <c r="CV62" s="114"/>
      <c r="CW62" s="115">
        <f t="shared" si="19"/>
        <v>0</v>
      </c>
      <c r="CX62" s="114"/>
      <c r="CY62" s="114"/>
      <c r="CZ62" s="114"/>
      <c r="DA62" s="115">
        <f t="shared" si="20"/>
        <v>0</v>
      </c>
      <c r="DB62" s="114"/>
      <c r="DC62" s="114"/>
      <c r="DD62" s="114"/>
      <c r="DE62" s="115">
        <f t="shared" si="21"/>
        <v>0</v>
      </c>
      <c r="DG62" s="114"/>
      <c r="DH62" s="114"/>
      <c r="DI62" s="115">
        <f t="shared" si="29"/>
        <v>0</v>
      </c>
      <c r="DK62" s="114"/>
      <c r="DL62" s="114"/>
      <c r="DM62" s="115">
        <f t="shared" si="30"/>
        <v>0</v>
      </c>
      <c r="DO62" s="107">
        <f t="shared" si="32"/>
        <v>0</v>
      </c>
      <c r="DP62"/>
      <c r="DQ62" s="129" t="str">
        <f t="shared" si="33"/>
        <v>-</v>
      </c>
      <c r="DR62"/>
      <c r="DS62" s="173" t="str">
        <f>IFERROR(RANK(DQ62,$DQ$6:$DQ$70)&amp;LOOKUP(RANK(DQ62,$DQ$6:$DQ$70),{1,2,3,4;"st","nd","rd","th"}),"-")</f>
        <v>-</v>
      </c>
      <c r="DT62" s="167">
        <f>'FIRST TERM'!DO62</f>
        <v>0</v>
      </c>
      <c r="DU62" s="168">
        <f>'SECOND TERM'!DO62</f>
        <v>0</v>
      </c>
      <c r="DV62" s="158">
        <f t="shared" si="28"/>
        <v>0</v>
      </c>
      <c r="DW62" s="177" t="str">
        <f>RANK(DV62,$DV$6:$DV$70)&amp;LOOKUP(RANK(DV62,$DV$6:$DV$70),{1,2,3,4;"st","nd","rd","th"})</f>
        <v>12th</v>
      </c>
    </row>
    <row r="63" spans="1:127" ht="15" thickBot="1">
      <c r="A63" s="75">
        <v>58</v>
      </c>
      <c r="B63" s="74"/>
      <c r="C63" s="37"/>
      <c r="D63" s="38"/>
      <c r="E63" s="39"/>
      <c r="F63"/>
      <c r="G63" s="34"/>
      <c r="H63" s="34"/>
      <c r="I63" s="34"/>
      <c r="J63" s="34"/>
      <c r="L63" s="36"/>
      <c r="M63" s="36"/>
      <c r="N63" s="36"/>
      <c r="O63" s="36"/>
      <c r="P63" s="36"/>
      <c r="Q63" s="36"/>
      <c r="S63" s="114"/>
      <c r="T63" s="114"/>
      <c r="U63" s="115">
        <f t="shared" si="24"/>
        <v>0</v>
      </c>
      <c r="V63" s="116"/>
      <c r="W63" s="114"/>
      <c r="X63" s="114"/>
      <c r="Y63" s="115">
        <f t="shared" si="1"/>
        <v>0</v>
      </c>
      <c r="Z63" s="116"/>
      <c r="AA63" s="114"/>
      <c r="AB63" s="114"/>
      <c r="AC63" s="115">
        <f t="shared" si="2"/>
        <v>0</v>
      </c>
      <c r="AD63" s="114"/>
      <c r="AE63" s="114"/>
      <c r="AF63" s="114"/>
      <c r="AG63" s="115">
        <f t="shared" si="3"/>
        <v>0</v>
      </c>
      <c r="AH63" s="116"/>
      <c r="AI63" s="114"/>
      <c r="AJ63" s="114"/>
      <c r="AK63" s="115">
        <f t="shared" si="4"/>
        <v>0</v>
      </c>
      <c r="AL63" s="116"/>
      <c r="AM63" s="114"/>
      <c r="AN63" s="114"/>
      <c r="AO63" s="115">
        <f t="shared" si="5"/>
        <v>0</v>
      </c>
      <c r="AP63" s="116"/>
      <c r="AQ63" s="114"/>
      <c r="AR63" s="114"/>
      <c r="AS63" s="115">
        <f t="shared" si="6"/>
        <v>0</v>
      </c>
      <c r="AT63" s="114"/>
      <c r="AU63" s="114"/>
      <c r="AV63" s="114"/>
      <c r="AW63" s="117">
        <f t="shared" si="31"/>
        <v>0</v>
      </c>
      <c r="AX63" s="114"/>
      <c r="AY63" s="114"/>
      <c r="AZ63" s="114"/>
      <c r="BA63" s="115">
        <f t="shared" si="7"/>
        <v>0</v>
      </c>
      <c r="BB63" s="116"/>
      <c r="BC63" s="114"/>
      <c r="BD63" s="114"/>
      <c r="BE63" s="115">
        <f t="shared" si="8"/>
        <v>0</v>
      </c>
      <c r="BF63" s="114"/>
      <c r="BG63" s="114"/>
      <c r="BH63" s="114"/>
      <c r="BI63" s="115">
        <f t="shared" si="9"/>
        <v>0</v>
      </c>
      <c r="BJ63" s="114"/>
      <c r="BK63" s="114"/>
      <c r="BL63" s="114"/>
      <c r="BM63" s="115">
        <f t="shared" si="10"/>
        <v>0</v>
      </c>
      <c r="BN63" s="114"/>
      <c r="BO63" s="114"/>
      <c r="BP63" s="114"/>
      <c r="BQ63" s="115">
        <f t="shared" si="11"/>
        <v>0</v>
      </c>
      <c r="BR63" s="114"/>
      <c r="BS63" s="114"/>
      <c r="BT63" s="114"/>
      <c r="BU63" s="115">
        <f t="shared" si="12"/>
        <v>0</v>
      </c>
      <c r="BV63" s="114"/>
      <c r="BW63" s="114"/>
      <c r="BX63" s="114"/>
      <c r="BY63" s="115">
        <f t="shared" si="13"/>
        <v>0</v>
      </c>
      <c r="BZ63" s="114"/>
      <c r="CA63" s="114"/>
      <c r="CB63" s="114"/>
      <c r="CC63" s="115">
        <f t="shared" si="14"/>
        <v>0</v>
      </c>
      <c r="CE63" s="114"/>
      <c r="CF63" s="114"/>
      <c r="CG63" s="115">
        <f t="shared" si="15"/>
        <v>0</v>
      </c>
      <c r="CI63" s="114"/>
      <c r="CJ63" s="114"/>
      <c r="CK63" s="115">
        <f t="shared" si="16"/>
        <v>0</v>
      </c>
      <c r="CM63" s="114"/>
      <c r="CN63" s="114"/>
      <c r="CO63" s="115">
        <f t="shared" si="17"/>
        <v>0</v>
      </c>
      <c r="CP63" s="114"/>
      <c r="CQ63" s="114"/>
      <c r="CR63" s="114"/>
      <c r="CS63" s="115">
        <f t="shared" si="18"/>
        <v>0</v>
      </c>
      <c r="CT63" s="114"/>
      <c r="CU63" s="114"/>
      <c r="CV63" s="114"/>
      <c r="CW63" s="115">
        <f t="shared" si="19"/>
        <v>0</v>
      </c>
      <c r="CX63" s="114"/>
      <c r="CY63" s="114"/>
      <c r="CZ63" s="114"/>
      <c r="DA63" s="115">
        <f t="shared" si="20"/>
        <v>0</v>
      </c>
      <c r="DB63" s="114"/>
      <c r="DC63" s="114"/>
      <c r="DD63" s="114"/>
      <c r="DE63" s="115">
        <f t="shared" si="21"/>
        <v>0</v>
      </c>
      <c r="DG63" s="114"/>
      <c r="DH63" s="114"/>
      <c r="DI63" s="115">
        <f t="shared" si="29"/>
        <v>0</v>
      </c>
      <c r="DK63" s="114"/>
      <c r="DL63" s="114"/>
      <c r="DM63" s="115">
        <f t="shared" si="30"/>
        <v>0</v>
      </c>
      <c r="DO63" s="107">
        <f t="shared" si="32"/>
        <v>0</v>
      </c>
      <c r="DP63"/>
      <c r="DQ63" s="129" t="str">
        <f t="shared" si="33"/>
        <v>-</v>
      </c>
      <c r="DR63"/>
      <c r="DS63" s="173" t="str">
        <f>IFERROR(RANK(DQ63,$DQ$6:$DQ$70)&amp;LOOKUP(RANK(DQ63,$DQ$6:$DQ$70),{1,2,3,4;"st","nd","rd","th"}),"-")</f>
        <v>-</v>
      </c>
      <c r="DT63" s="167">
        <f>'FIRST TERM'!DO63</f>
        <v>0</v>
      </c>
      <c r="DU63" s="168">
        <f>'SECOND TERM'!DO63</f>
        <v>0</v>
      </c>
      <c r="DV63" s="158">
        <f t="shared" si="28"/>
        <v>0</v>
      </c>
      <c r="DW63" s="177" t="str">
        <f>RANK(DV63,$DV$6:$DV$70)&amp;LOOKUP(RANK(DV63,$DV$6:$DV$70),{1,2,3,4;"st","nd","rd","th"})</f>
        <v>12th</v>
      </c>
    </row>
    <row r="64" spans="1:127" ht="15" thickBot="1">
      <c r="A64" s="75">
        <v>59</v>
      </c>
      <c r="B64" s="74"/>
      <c r="C64" s="37"/>
      <c r="D64" s="38"/>
      <c r="E64" s="39"/>
      <c r="F64"/>
      <c r="G64" s="34"/>
      <c r="H64" s="34"/>
      <c r="I64" s="34"/>
      <c r="J64" s="34"/>
      <c r="L64" s="36"/>
      <c r="M64" s="36"/>
      <c r="N64" s="36"/>
      <c r="O64" s="36"/>
      <c r="P64" s="36"/>
      <c r="Q64" s="36"/>
      <c r="S64" s="114"/>
      <c r="T64" s="114"/>
      <c r="U64" s="115">
        <f t="shared" si="24"/>
        <v>0</v>
      </c>
      <c r="V64" s="116"/>
      <c r="W64" s="114"/>
      <c r="X64" s="114"/>
      <c r="Y64" s="115">
        <f t="shared" si="1"/>
        <v>0</v>
      </c>
      <c r="Z64" s="116"/>
      <c r="AA64" s="114"/>
      <c r="AB64" s="114"/>
      <c r="AC64" s="115">
        <f t="shared" si="2"/>
        <v>0</v>
      </c>
      <c r="AD64" s="114"/>
      <c r="AE64" s="114"/>
      <c r="AF64" s="114"/>
      <c r="AG64" s="115">
        <f t="shared" si="3"/>
        <v>0</v>
      </c>
      <c r="AH64" s="116"/>
      <c r="AI64" s="114"/>
      <c r="AJ64" s="114"/>
      <c r="AK64" s="115">
        <f t="shared" si="4"/>
        <v>0</v>
      </c>
      <c r="AL64" s="116"/>
      <c r="AM64" s="114"/>
      <c r="AN64" s="114"/>
      <c r="AO64" s="115">
        <f t="shared" si="5"/>
        <v>0</v>
      </c>
      <c r="AP64" s="116"/>
      <c r="AQ64" s="114"/>
      <c r="AR64" s="114"/>
      <c r="AS64" s="115">
        <f t="shared" si="6"/>
        <v>0</v>
      </c>
      <c r="AT64" s="114"/>
      <c r="AU64" s="114"/>
      <c r="AV64" s="114"/>
      <c r="AW64" s="117">
        <f t="shared" si="31"/>
        <v>0</v>
      </c>
      <c r="AX64" s="114"/>
      <c r="AY64" s="114"/>
      <c r="AZ64" s="114"/>
      <c r="BA64" s="115">
        <f t="shared" si="7"/>
        <v>0</v>
      </c>
      <c r="BB64" s="116"/>
      <c r="BC64" s="114"/>
      <c r="BD64" s="114"/>
      <c r="BE64" s="115">
        <f t="shared" si="8"/>
        <v>0</v>
      </c>
      <c r="BF64" s="114"/>
      <c r="BG64" s="114"/>
      <c r="BH64" s="114"/>
      <c r="BI64" s="115">
        <f t="shared" si="9"/>
        <v>0</v>
      </c>
      <c r="BJ64" s="114"/>
      <c r="BK64" s="114"/>
      <c r="BL64" s="114"/>
      <c r="BM64" s="115">
        <f t="shared" si="10"/>
        <v>0</v>
      </c>
      <c r="BN64" s="114"/>
      <c r="BO64" s="114"/>
      <c r="BP64" s="114"/>
      <c r="BQ64" s="115">
        <f t="shared" si="11"/>
        <v>0</v>
      </c>
      <c r="BR64" s="114"/>
      <c r="BS64" s="114"/>
      <c r="BT64" s="114"/>
      <c r="BU64" s="115">
        <f t="shared" si="12"/>
        <v>0</v>
      </c>
      <c r="BV64" s="114"/>
      <c r="BW64" s="114"/>
      <c r="BX64" s="114"/>
      <c r="BY64" s="115">
        <f t="shared" si="13"/>
        <v>0</v>
      </c>
      <c r="BZ64" s="114"/>
      <c r="CA64" s="114"/>
      <c r="CB64" s="114"/>
      <c r="CC64" s="115">
        <f t="shared" si="14"/>
        <v>0</v>
      </c>
      <c r="CE64" s="114"/>
      <c r="CF64" s="114"/>
      <c r="CG64" s="115">
        <f t="shared" si="15"/>
        <v>0</v>
      </c>
      <c r="CI64" s="114"/>
      <c r="CJ64" s="114"/>
      <c r="CK64" s="115">
        <f t="shared" si="16"/>
        <v>0</v>
      </c>
      <c r="CM64" s="114"/>
      <c r="CN64" s="114"/>
      <c r="CO64" s="115">
        <f t="shared" si="17"/>
        <v>0</v>
      </c>
      <c r="CP64" s="114"/>
      <c r="CQ64" s="114"/>
      <c r="CR64" s="114"/>
      <c r="CS64" s="115">
        <f t="shared" si="18"/>
        <v>0</v>
      </c>
      <c r="CT64" s="114"/>
      <c r="CU64" s="114"/>
      <c r="CV64" s="114"/>
      <c r="CW64" s="115">
        <f t="shared" si="19"/>
        <v>0</v>
      </c>
      <c r="CX64" s="114"/>
      <c r="CY64" s="114"/>
      <c r="CZ64" s="114"/>
      <c r="DA64" s="115">
        <f t="shared" si="20"/>
        <v>0</v>
      </c>
      <c r="DB64" s="114"/>
      <c r="DC64" s="114"/>
      <c r="DD64" s="114"/>
      <c r="DE64" s="115">
        <f t="shared" si="21"/>
        <v>0</v>
      </c>
      <c r="DG64" s="114"/>
      <c r="DH64" s="114"/>
      <c r="DI64" s="115">
        <f t="shared" si="29"/>
        <v>0</v>
      </c>
      <c r="DK64" s="114"/>
      <c r="DL64" s="114"/>
      <c r="DM64" s="115">
        <f t="shared" si="30"/>
        <v>0</v>
      </c>
      <c r="DO64" s="107">
        <f t="shared" si="32"/>
        <v>0</v>
      </c>
      <c r="DP64"/>
      <c r="DQ64" s="129" t="str">
        <f t="shared" si="33"/>
        <v>-</v>
      </c>
      <c r="DR64"/>
      <c r="DS64" s="173" t="str">
        <f>IFERROR(RANK(DQ64,$DQ$6:$DQ$70)&amp;LOOKUP(RANK(DQ64,$DQ$6:$DQ$70),{1,2,3,4;"st","nd","rd","th"}),"-")</f>
        <v>-</v>
      </c>
      <c r="DT64" s="167">
        <f>'FIRST TERM'!DO64</f>
        <v>0</v>
      </c>
      <c r="DU64" s="168">
        <f>'SECOND TERM'!DO64</f>
        <v>0</v>
      </c>
      <c r="DV64" s="158">
        <f t="shared" si="28"/>
        <v>0</v>
      </c>
      <c r="DW64" s="177" t="str">
        <f>RANK(DV64,$DV$6:$DV$70)&amp;LOOKUP(RANK(DV64,$DV$6:$DV$70),{1,2,3,4;"st","nd","rd","th"})</f>
        <v>12th</v>
      </c>
    </row>
    <row r="65" spans="1:127" ht="15" thickBot="1">
      <c r="A65" s="75">
        <v>60</v>
      </c>
      <c r="B65" s="74"/>
      <c r="C65" s="37"/>
      <c r="D65" s="38"/>
      <c r="E65" s="39"/>
      <c r="F65"/>
      <c r="G65" s="34"/>
      <c r="H65" s="34"/>
      <c r="I65" s="34"/>
      <c r="J65" s="34"/>
      <c r="L65" s="36"/>
      <c r="M65" s="36"/>
      <c r="N65" s="36"/>
      <c r="O65" s="36"/>
      <c r="P65" s="36"/>
      <c r="Q65" s="36"/>
      <c r="S65" s="114"/>
      <c r="T65" s="114"/>
      <c r="U65" s="115">
        <f t="shared" si="24"/>
        <v>0</v>
      </c>
      <c r="V65" s="116"/>
      <c r="W65" s="114"/>
      <c r="X65" s="114"/>
      <c r="Y65" s="115">
        <f t="shared" si="1"/>
        <v>0</v>
      </c>
      <c r="Z65" s="116"/>
      <c r="AA65" s="114"/>
      <c r="AB65" s="114"/>
      <c r="AC65" s="115">
        <f t="shared" si="2"/>
        <v>0</v>
      </c>
      <c r="AD65" s="116"/>
      <c r="AE65" s="114"/>
      <c r="AF65" s="114"/>
      <c r="AG65" s="115">
        <f t="shared" si="3"/>
        <v>0</v>
      </c>
      <c r="AH65" s="116"/>
      <c r="AI65" s="114"/>
      <c r="AJ65" s="114"/>
      <c r="AK65" s="115">
        <f t="shared" si="4"/>
        <v>0</v>
      </c>
      <c r="AL65" s="116"/>
      <c r="AM65" s="114"/>
      <c r="AN65" s="114"/>
      <c r="AO65" s="115">
        <f t="shared" si="5"/>
        <v>0</v>
      </c>
      <c r="AP65" s="116"/>
      <c r="AQ65" s="114"/>
      <c r="AR65" s="114"/>
      <c r="AS65" s="115">
        <f t="shared" si="6"/>
        <v>0</v>
      </c>
      <c r="AT65" s="114"/>
      <c r="AU65" s="114"/>
      <c r="AV65" s="114"/>
      <c r="AW65" s="117">
        <f t="shared" si="31"/>
        <v>0</v>
      </c>
      <c r="AX65" s="114"/>
      <c r="AY65" s="114"/>
      <c r="AZ65" s="114"/>
      <c r="BA65" s="115">
        <f t="shared" si="7"/>
        <v>0</v>
      </c>
      <c r="BB65" s="116"/>
      <c r="BC65" s="114"/>
      <c r="BD65" s="114"/>
      <c r="BE65" s="115">
        <f t="shared" si="8"/>
        <v>0</v>
      </c>
      <c r="BF65" s="114"/>
      <c r="BG65" s="114"/>
      <c r="BH65" s="114"/>
      <c r="BI65" s="115">
        <f t="shared" si="9"/>
        <v>0</v>
      </c>
      <c r="BJ65" s="114"/>
      <c r="BK65" s="114"/>
      <c r="BL65" s="114"/>
      <c r="BM65" s="115">
        <f t="shared" si="10"/>
        <v>0</v>
      </c>
      <c r="BN65" s="114"/>
      <c r="BO65" s="114"/>
      <c r="BP65" s="114"/>
      <c r="BQ65" s="115">
        <f t="shared" si="11"/>
        <v>0</v>
      </c>
      <c r="BR65" s="114"/>
      <c r="BS65" s="114"/>
      <c r="BT65" s="114"/>
      <c r="BU65" s="115">
        <f t="shared" si="12"/>
        <v>0</v>
      </c>
      <c r="BV65" s="114"/>
      <c r="BW65" s="114"/>
      <c r="BX65" s="114"/>
      <c r="BY65" s="115">
        <f t="shared" si="13"/>
        <v>0</v>
      </c>
      <c r="BZ65" s="114"/>
      <c r="CA65" s="114"/>
      <c r="CB65" s="114"/>
      <c r="CC65" s="115">
        <f t="shared" si="14"/>
        <v>0</v>
      </c>
      <c r="CE65" s="114"/>
      <c r="CF65" s="114"/>
      <c r="CG65" s="115">
        <f t="shared" si="15"/>
        <v>0</v>
      </c>
      <c r="CI65" s="114"/>
      <c r="CJ65" s="114"/>
      <c r="CK65" s="115">
        <f t="shared" si="16"/>
        <v>0</v>
      </c>
      <c r="CM65" s="114"/>
      <c r="CN65" s="114"/>
      <c r="CO65" s="115">
        <f t="shared" si="17"/>
        <v>0</v>
      </c>
      <c r="CP65" s="114"/>
      <c r="CQ65" s="114"/>
      <c r="CR65" s="114"/>
      <c r="CS65" s="115">
        <f t="shared" si="18"/>
        <v>0</v>
      </c>
      <c r="CT65" s="114"/>
      <c r="CU65" s="114"/>
      <c r="CV65" s="114"/>
      <c r="CW65" s="115">
        <f t="shared" si="19"/>
        <v>0</v>
      </c>
      <c r="CX65" s="114"/>
      <c r="CY65" s="114"/>
      <c r="CZ65" s="114"/>
      <c r="DA65" s="115">
        <f t="shared" si="20"/>
        <v>0</v>
      </c>
      <c r="DB65" s="114"/>
      <c r="DC65" s="114"/>
      <c r="DD65" s="114"/>
      <c r="DE65" s="115">
        <f t="shared" si="21"/>
        <v>0</v>
      </c>
      <c r="DG65" s="114"/>
      <c r="DH65" s="114"/>
      <c r="DI65" s="115">
        <f t="shared" si="29"/>
        <v>0</v>
      </c>
      <c r="DK65" s="114"/>
      <c r="DL65" s="114"/>
      <c r="DM65" s="115">
        <f t="shared" si="30"/>
        <v>0</v>
      </c>
      <c r="DO65" s="107">
        <f t="shared" si="32"/>
        <v>0</v>
      </c>
      <c r="DP65"/>
      <c r="DQ65" s="129" t="str">
        <f t="shared" si="33"/>
        <v>-</v>
      </c>
      <c r="DR65"/>
      <c r="DS65" s="173" t="str">
        <f>IFERROR(RANK(DQ65,$DQ$6:$DQ$70)&amp;LOOKUP(RANK(DQ65,$DQ$6:$DQ$70),{1,2,3,4;"st","nd","rd","th"}),"-")</f>
        <v>-</v>
      </c>
      <c r="DT65" s="167">
        <f>'FIRST TERM'!DO65</f>
        <v>0</v>
      </c>
      <c r="DU65" s="168">
        <f>'SECOND TERM'!DO65</f>
        <v>0</v>
      </c>
      <c r="DV65" s="158">
        <f t="shared" si="28"/>
        <v>0</v>
      </c>
      <c r="DW65" s="177" t="str">
        <f>RANK(DV65,$DV$6:$DV$70)&amp;LOOKUP(RANK(DV65,$DV$6:$DV$70),{1,2,3,4;"st","nd","rd","th"})</f>
        <v>12th</v>
      </c>
    </row>
    <row r="66" spans="1:127" ht="15" thickBot="1">
      <c r="A66" s="75">
        <v>61</v>
      </c>
      <c r="B66" s="74"/>
      <c r="C66" s="37"/>
      <c r="D66" s="38"/>
      <c r="E66" s="39"/>
      <c r="F66"/>
      <c r="G66" s="34"/>
      <c r="H66" s="34"/>
      <c r="I66" s="34"/>
      <c r="J66" s="34"/>
      <c r="L66" s="36"/>
      <c r="M66" s="36"/>
      <c r="N66" s="36"/>
      <c r="O66" s="36"/>
      <c r="P66" s="36"/>
      <c r="Q66" s="36"/>
      <c r="S66" s="114"/>
      <c r="T66" s="114"/>
      <c r="U66" s="115">
        <f t="shared" si="24"/>
        <v>0</v>
      </c>
      <c r="V66" s="116"/>
      <c r="W66" s="114"/>
      <c r="X66" s="114"/>
      <c r="Y66" s="115">
        <f t="shared" si="1"/>
        <v>0</v>
      </c>
      <c r="Z66" s="116"/>
      <c r="AA66" s="114"/>
      <c r="AB66" s="114"/>
      <c r="AC66" s="115">
        <f t="shared" si="2"/>
        <v>0</v>
      </c>
      <c r="AD66" s="116"/>
      <c r="AE66" s="114"/>
      <c r="AF66" s="114"/>
      <c r="AG66" s="115">
        <f t="shared" si="3"/>
        <v>0</v>
      </c>
      <c r="AH66" s="116"/>
      <c r="AI66" s="114"/>
      <c r="AJ66" s="114"/>
      <c r="AK66" s="115">
        <f t="shared" si="4"/>
        <v>0</v>
      </c>
      <c r="AL66" s="116"/>
      <c r="AM66" s="114"/>
      <c r="AN66" s="114"/>
      <c r="AO66" s="115">
        <f t="shared" si="5"/>
        <v>0</v>
      </c>
      <c r="AP66" s="116"/>
      <c r="AQ66" s="114"/>
      <c r="AR66" s="114"/>
      <c r="AS66" s="115">
        <f t="shared" si="6"/>
        <v>0</v>
      </c>
      <c r="AT66" s="114"/>
      <c r="AU66" s="114"/>
      <c r="AV66" s="114"/>
      <c r="AW66" s="117">
        <f t="shared" si="31"/>
        <v>0</v>
      </c>
      <c r="AX66" s="114"/>
      <c r="AY66" s="114"/>
      <c r="AZ66" s="114"/>
      <c r="BA66" s="115">
        <f t="shared" si="7"/>
        <v>0</v>
      </c>
      <c r="BB66" s="116"/>
      <c r="BC66" s="114"/>
      <c r="BD66" s="114"/>
      <c r="BE66" s="115">
        <f t="shared" si="8"/>
        <v>0</v>
      </c>
      <c r="BF66" s="114"/>
      <c r="BG66" s="114"/>
      <c r="BH66" s="114"/>
      <c r="BI66" s="115">
        <f t="shared" si="9"/>
        <v>0</v>
      </c>
      <c r="BJ66" s="114"/>
      <c r="BK66" s="114"/>
      <c r="BL66" s="114"/>
      <c r="BM66" s="115">
        <f t="shared" si="10"/>
        <v>0</v>
      </c>
      <c r="BN66" s="114"/>
      <c r="BO66" s="114"/>
      <c r="BP66" s="114"/>
      <c r="BQ66" s="115">
        <f t="shared" si="11"/>
        <v>0</v>
      </c>
      <c r="BR66" s="114"/>
      <c r="BS66" s="114"/>
      <c r="BT66" s="114"/>
      <c r="BU66" s="115">
        <f t="shared" si="12"/>
        <v>0</v>
      </c>
      <c r="BV66" s="114"/>
      <c r="BW66" s="114"/>
      <c r="BX66" s="114"/>
      <c r="BY66" s="115">
        <f t="shared" si="13"/>
        <v>0</v>
      </c>
      <c r="BZ66" s="114"/>
      <c r="CA66" s="114"/>
      <c r="CB66" s="114"/>
      <c r="CC66" s="115">
        <f t="shared" si="14"/>
        <v>0</v>
      </c>
      <c r="CE66" s="114"/>
      <c r="CF66" s="114"/>
      <c r="CG66" s="115">
        <f t="shared" si="15"/>
        <v>0</v>
      </c>
      <c r="CI66" s="114"/>
      <c r="CJ66" s="114"/>
      <c r="CK66" s="115">
        <f t="shared" si="16"/>
        <v>0</v>
      </c>
      <c r="CM66" s="114"/>
      <c r="CN66" s="114"/>
      <c r="CO66" s="115">
        <f t="shared" si="17"/>
        <v>0</v>
      </c>
      <c r="CP66" s="114"/>
      <c r="CQ66" s="114"/>
      <c r="CR66" s="114"/>
      <c r="CS66" s="115">
        <f t="shared" si="18"/>
        <v>0</v>
      </c>
      <c r="CT66" s="114"/>
      <c r="CU66" s="114"/>
      <c r="CV66" s="114"/>
      <c r="CW66" s="115">
        <f t="shared" si="19"/>
        <v>0</v>
      </c>
      <c r="CX66" s="114"/>
      <c r="CY66" s="114"/>
      <c r="CZ66" s="114"/>
      <c r="DA66" s="115">
        <f t="shared" si="20"/>
        <v>0</v>
      </c>
      <c r="DB66" s="114"/>
      <c r="DC66" s="114"/>
      <c r="DD66" s="114"/>
      <c r="DE66" s="115">
        <f t="shared" si="21"/>
        <v>0</v>
      </c>
      <c r="DG66" s="114"/>
      <c r="DH66" s="114"/>
      <c r="DI66" s="115">
        <f t="shared" si="29"/>
        <v>0</v>
      </c>
      <c r="DK66" s="114"/>
      <c r="DL66" s="114"/>
      <c r="DM66" s="115">
        <f t="shared" si="30"/>
        <v>0</v>
      </c>
      <c r="DO66" s="107">
        <f t="shared" si="32"/>
        <v>0</v>
      </c>
      <c r="DP66"/>
      <c r="DQ66" s="129" t="str">
        <f t="shared" si="33"/>
        <v>-</v>
      </c>
      <c r="DR66"/>
      <c r="DS66" s="173" t="str">
        <f>IFERROR(RANK(DQ66,$DQ$6:$DQ$70)&amp;LOOKUP(RANK(DQ66,$DQ$6:$DQ$70),{1,2,3,4;"st","nd","rd","th"}),"-")</f>
        <v>-</v>
      </c>
      <c r="DT66" s="167">
        <f>'FIRST TERM'!DO66</f>
        <v>0</v>
      </c>
      <c r="DU66" s="168">
        <f>'SECOND TERM'!DO66</f>
        <v>0</v>
      </c>
      <c r="DV66" s="158">
        <f t="shared" si="28"/>
        <v>0</v>
      </c>
      <c r="DW66" s="177" t="str">
        <f>RANK(DV66,$DV$6:$DV$70)&amp;LOOKUP(RANK(DV66,$DV$6:$DV$70),{1,2,3,4;"st","nd","rd","th"})</f>
        <v>12th</v>
      </c>
    </row>
    <row r="67" spans="1:127" ht="15" thickBot="1">
      <c r="A67" s="75">
        <v>62</v>
      </c>
      <c r="B67" s="74"/>
      <c r="C67" s="37"/>
      <c r="D67" s="38"/>
      <c r="E67" s="39"/>
      <c r="F67"/>
      <c r="G67" s="34"/>
      <c r="H67" s="34"/>
      <c r="I67" s="34"/>
      <c r="J67" s="34"/>
      <c r="L67" s="36"/>
      <c r="M67" s="36"/>
      <c r="N67" s="36"/>
      <c r="O67" s="36"/>
      <c r="P67" s="36"/>
      <c r="Q67" s="36"/>
      <c r="S67" s="114"/>
      <c r="T67" s="114"/>
      <c r="U67" s="115">
        <f t="shared" si="24"/>
        <v>0</v>
      </c>
      <c r="V67" s="116"/>
      <c r="W67" s="114"/>
      <c r="X67" s="114"/>
      <c r="Y67" s="115">
        <f t="shared" si="1"/>
        <v>0</v>
      </c>
      <c r="Z67" s="116"/>
      <c r="AA67" s="114"/>
      <c r="AB67" s="114"/>
      <c r="AC67" s="115">
        <f t="shared" si="2"/>
        <v>0</v>
      </c>
      <c r="AD67" s="116"/>
      <c r="AE67" s="114"/>
      <c r="AF67" s="114"/>
      <c r="AG67" s="115">
        <f t="shared" si="3"/>
        <v>0</v>
      </c>
      <c r="AH67" s="116"/>
      <c r="AI67" s="114"/>
      <c r="AJ67" s="114"/>
      <c r="AK67" s="115">
        <f t="shared" si="4"/>
        <v>0</v>
      </c>
      <c r="AL67" s="116"/>
      <c r="AM67" s="114"/>
      <c r="AN67" s="114"/>
      <c r="AO67" s="115">
        <f t="shared" si="5"/>
        <v>0</v>
      </c>
      <c r="AP67" s="116"/>
      <c r="AQ67" s="114"/>
      <c r="AR67" s="114"/>
      <c r="AS67" s="115">
        <f t="shared" si="6"/>
        <v>0</v>
      </c>
      <c r="AT67" s="114"/>
      <c r="AU67" s="114"/>
      <c r="AV67" s="114"/>
      <c r="AW67" s="117">
        <f t="shared" si="31"/>
        <v>0</v>
      </c>
      <c r="AX67" s="114"/>
      <c r="AY67" s="114"/>
      <c r="AZ67" s="114"/>
      <c r="BA67" s="115">
        <f t="shared" si="7"/>
        <v>0</v>
      </c>
      <c r="BB67" s="116"/>
      <c r="BC67" s="114"/>
      <c r="BD67" s="114"/>
      <c r="BE67" s="115">
        <f t="shared" si="8"/>
        <v>0</v>
      </c>
      <c r="BF67" s="114"/>
      <c r="BG67" s="114"/>
      <c r="BH67" s="114"/>
      <c r="BI67" s="115">
        <f t="shared" si="9"/>
        <v>0</v>
      </c>
      <c r="BJ67" s="114"/>
      <c r="BK67" s="114"/>
      <c r="BL67" s="114"/>
      <c r="BM67" s="115">
        <f t="shared" si="10"/>
        <v>0</v>
      </c>
      <c r="BN67" s="114"/>
      <c r="BO67" s="114"/>
      <c r="BP67" s="114"/>
      <c r="BQ67" s="115">
        <f t="shared" si="11"/>
        <v>0</v>
      </c>
      <c r="BR67" s="114"/>
      <c r="BS67" s="114"/>
      <c r="BT67" s="114"/>
      <c r="BU67" s="115">
        <f t="shared" si="12"/>
        <v>0</v>
      </c>
      <c r="BV67" s="114"/>
      <c r="BW67" s="114"/>
      <c r="BX67" s="114"/>
      <c r="BY67" s="115">
        <f t="shared" si="13"/>
        <v>0</v>
      </c>
      <c r="BZ67" s="114"/>
      <c r="CA67" s="114"/>
      <c r="CB67" s="114"/>
      <c r="CC67" s="115">
        <f t="shared" si="14"/>
        <v>0</v>
      </c>
      <c r="CE67" s="114"/>
      <c r="CF67" s="114"/>
      <c r="CG67" s="115">
        <f t="shared" si="15"/>
        <v>0</v>
      </c>
      <c r="CI67" s="114"/>
      <c r="CJ67" s="114"/>
      <c r="CK67" s="115">
        <f t="shared" si="16"/>
        <v>0</v>
      </c>
      <c r="CM67" s="114"/>
      <c r="CN67" s="114"/>
      <c r="CO67" s="115">
        <f t="shared" si="17"/>
        <v>0</v>
      </c>
      <c r="CP67" s="114"/>
      <c r="CQ67" s="114"/>
      <c r="CR67" s="114"/>
      <c r="CS67" s="115">
        <f t="shared" si="18"/>
        <v>0</v>
      </c>
      <c r="CT67" s="114"/>
      <c r="CU67" s="114"/>
      <c r="CV67" s="114"/>
      <c r="CW67" s="115">
        <f t="shared" si="19"/>
        <v>0</v>
      </c>
      <c r="CX67" s="114"/>
      <c r="CY67" s="114"/>
      <c r="CZ67" s="114"/>
      <c r="DA67" s="115">
        <f t="shared" si="20"/>
        <v>0</v>
      </c>
      <c r="DB67" s="114"/>
      <c r="DC67" s="114"/>
      <c r="DD67" s="114"/>
      <c r="DE67" s="115">
        <f t="shared" si="21"/>
        <v>0</v>
      </c>
      <c r="DG67" s="114"/>
      <c r="DH67" s="114"/>
      <c r="DI67" s="115">
        <f t="shared" si="29"/>
        <v>0</v>
      </c>
      <c r="DK67" s="114"/>
      <c r="DL67" s="114"/>
      <c r="DM67" s="115">
        <f t="shared" si="30"/>
        <v>0</v>
      </c>
      <c r="DO67" s="107">
        <f t="shared" si="32"/>
        <v>0</v>
      </c>
      <c r="DP67"/>
      <c r="DQ67" s="129" t="str">
        <f t="shared" si="33"/>
        <v>-</v>
      </c>
      <c r="DR67"/>
      <c r="DS67" s="173" t="str">
        <f>IFERROR(RANK(DQ67,$DQ$6:$DQ$70)&amp;LOOKUP(RANK(DQ67,$DQ$6:$DQ$70),{1,2,3,4;"st","nd","rd","th"}),"-")</f>
        <v>-</v>
      </c>
      <c r="DT67" s="167">
        <f>'FIRST TERM'!DO67</f>
        <v>0</v>
      </c>
      <c r="DU67" s="168">
        <f>'SECOND TERM'!DO67</f>
        <v>0</v>
      </c>
      <c r="DV67" s="158">
        <f t="shared" si="28"/>
        <v>0</v>
      </c>
      <c r="DW67" s="177" t="str">
        <f>RANK(DV67,$DV$6:$DV$70)&amp;LOOKUP(RANK(DV67,$DV$6:$DV$70),{1,2,3,4;"st","nd","rd","th"})</f>
        <v>12th</v>
      </c>
    </row>
    <row r="68" spans="1:127" ht="15" thickBot="1">
      <c r="A68" s="75">
        <v>63</v>
      </c>
      <c r="B68" s="74"/>
      <c r="C68" s="37"/>
      <c r="D68" s="38"/>
      <c r="E68" s="39"/>
      <c r="F68"/>
      <c r="G68" s="34"/>
      <c r="H68" s="34"/>
      <c r="I68" s="34"/>
      <c r="J68" s="34"/>
      <c r="L68" s="36"/>
      <c r="M68" s="36"/>
      <c r="N68" s="36"/>
      <c r="O68" s="36"/>
      <c r="P68" s="36"/>
      <c r="Q68" s="36"/>
      <c r="S68" s="114"/>
      <c r="T68" s="114"/>
      <c r="U68" s="115">
        <f t="shared" si="24"/>
        <v>0</v>
      </c>
      <c r="V68" s="116"/>
      <c r="W68" s="114"/>
      <c r="X68" s="114"/>
      <c r="Y68" s="115">
        <f t="shared" si="1"/>
        <v>0</v>
      </c>
      <c r="Z68" s="116"/>
      <c r="AA68" s="114"/>
      <c r="AB68" s="114"/>
      <c r="AC68" s="115">
        <f t="shared" si="2"/>
        <v>0</v>
      </c>
      <c r="AD68" s="116"/>
      <c r="AE68" s="114"/>
      <c r="AF68" s="114"/>
      <c r="AG68" s="115">
        <f t="shared" si="3"/>
        <v>0</v>
      </c>
      <c r="AH68" s="116"/>
      <c r="AI68" s="114"/>
      <c r="AJ68" s="114"/>
      <c r="AK68" s="115">
        <f t="shared" si="4"/>
        <v>0</v>
      </c>
      <c r="AL68" s="116"/>
      <c r="AM68" s="114"/>
      <c r="AN68" s="114"/>
      <c r="AO68" s="115">
        <f t="shared" si="5"/>
        <v>0</v>
      </c>
      <c r="AP68" s="116"/>
      <c r="AQ68" s="114"/>
      <c r="AR68" s="114"/>
      <c r="AS68" s="115">
        <f t="shared" si="6"/>
        <v>0</v>
      </c>
      <c r="AT68" s="114"/>
      <c r="AU68" s="114"/>
      <c r="AV68" s="114"/>
      <c r="AW68" s="117">
        <f t="shared" si="31"/>
        <v>0</v>
      </c>
      <c r="AX68" s="114"/>
      <c r="AY68" s="114"/>
      <c r="AZ68" s="114"/>
      <c r="BA68" s="115">
        <f t="shared" si="7"/>
        <v>0</v>
      </c>
      <c r="BB68" s="116"/>
      <c r="BC68" s="114"/>
      <c r="BD68" s="114"/>
      <c r="BE68" s="115">
        <f t="shared" si="8"/>
        <v>0</v>
      </c>
      <c r="BF68" s="114"/>
      <c r="BG68" s="114"/>
      <c r="BH68" s="114"/>
      <c r="BI68" s="115">
        <f t="shared" si="9"/>
        <v>0</v>
      </c>
      <c r="BJ68" s="114"/>
      <c r="BK68" s="114"/>
      <c r="BL68" s="114"/>
      <c r="BM68" s="115">
        <f t="shared" si="10"/>
        <v>0</v>
      </c>
      <c r="BN68" s="114"/>
      <c r="BO68" s="114"/>
      <c r="BP68" s="114"/>
      <c r="BQ68" s="115">
        <f t="shared" si="11"/>
        <v>0</v>
      </c>
      <c r="BR68" s="114"/>
      <c r="BS68" s="114"/>
      <c r="BT68" s="114"/>
      <c r="BU68" s="115">
        <f t="shared" si="12"/>
        <v>0</v>
      </c>
      <c r="BV68" s="114"/>
      <c r="BW68" s="114"/>
      <c r="BX68" s="114"/>
      <c r="BY68" s="115">
        <f t="shared" si="13"/>
        <v>0</v>
      </c>
      <c r="BZ68" s="114"/>
      <c r="CA68" s="114"/>
      <c r="CB68" s="114"/>
      <c r="CC68" s="115">
        <f t="shared" si="14"/>
        <v>0</v>
      </c>
      <c r="CE68" s="114"/>
      <c r="CF68" s="114"/>
      <c r="CG68" s="115">
        <f t="shared" si="15"/>
        <v>0</v>
      </c>
      <c r="CI68" s="114"/>
      <c r="CJ68" s="114"/>
      <c r="CK68" s="115">
        <f t="shared" si="16"/>
        <v>0</v>
      </c>
      <c r="CM68" s="114"/>
      <c r="CN68" s="114"/>
      <c r="CO68" s="115">
        <f t="shared" si="17"/>
        <v>0</v>
      </c>
      <c r="CP68" s="114"/>
      <c r="CQ68" s="114"/>
      <c r="CR68" s="114"/>
      <c r="CS68" s="115">
        <f t="shared" si="18"/>
        <v>0</v>
      </c>
      <c r="CT68" s="114"/>
      <c r="CU68" s="114"/>
      <c r="CV68" s="114"/>
      <c r="CW68" s="115">
        <f t="shared" si="19"/>
        <v>0</v>
      </c>
      <c r="CX68" s="114"/>
      <c r="CY68" s="114"/>
      <c r="CZ68" s="114"/>
      <c r="DA68" s="115">
        <f t="shared" si="20"/>
        <v>0</v>
      </c>
      <c r="DB68" s="114"/>
      <c r="DC68" s="114"/>
      <c r="DD68" s="114"/>
      <c r="DE68" s="115">
        <f t="shared" si="21"/>
        <v>0</v>
      </c>
      <c r="DG68" s="114"/>
      <c r="DH68" s="114"/>
      <c r="DI68" s="115">
        <f t="shared" si="29"/>
        <v>0</v>
      </c>
      <c r="DK68" s="114"/>
      <c r="DL68" s="114"/>
      <c r="DM68" s="115">
        <f t="shared" si="30"/>
        <v>0</v>
      </c>
      <c r="DO68" s="107">
        <f t="shared" si="32"/>
        <v>0</v>
      </c>
      <c r="DP68"/>
      <c r="DQ68" s="129" t="str">
        <f t="shared" si="33"/>
        <v>-</v>
      </c>
      <c r="DR68"/>
      <c r="DS68" s="173" t="str">
        <f>IFERROR(RANK(DQ68,$DQ$6:$DQ$70)&amp;LOOKUP(RANK(DQ68,$DQ$6:$DQ$70),{1,2,3,4;"st","nd","rd","th"}),"-")</f>
        <v>-</v>
      </c>
      <c r="DT68" s="167">
        <f>'FIRST TERM'!DO68</f>
        <v>0</v>
      </c>
      <c r="DU68" s="168">
        <f>'SECOND TERM'!DO68</f>
        <v>0</v>
      </c>
      <c r="DV68" s="158">
        <f t="shared" si="28"/>
        <v>0</v>
      </c>
      <c r="DW68" s="177" t="str">
        <f>RANK(DV68,$DV$6:$DV$70)&amp;LOOKUP(RANK(DV68,$DV$6:$DV$70),{1,2,3,4;"st","nd","rd","th"})</f>
        <v>12th</v>
      </c>
    </row>
    <row r="69" spans="1:127" ht="15" thickBot="1">
      <c r="A69" s="75">
        <v>64</v>
      </c>
      <c r="B69" s="74"/>
      <c r="C69" s="37"/>
      <c r="D69" s="38"/>
      <c r="E69" s="39"/>
      <c r="F69"/>
      <c r="G69" s="34"/>
      <c r="H69" s="34"/>
      <c r="I69" s="34"/>
      <c r="J69" s="34"/>
      <c r="L69" s="36"/>
      <c r="M69" s="36"/>
      <c r="N69" s="36"/>
      <c r="O69" s="36"/>
      <c r="P69" s="36"/>
      <c r="Q69" s="36"/>
      <c r="S69" s="114"/>
      <c r="T69" s="114"/>
      <c r="U69" s="115">
        <f t="shared" si="24"/>
        <v>0</v>
      </c>
      <c r="V69" s="116"/>
      <c r="W69" s="114"/>
      <c r="X69" s="114"/>
      <c r="Y69" s="115">
        <f t="shared" ref="Y69:Y70" si="34">W69+X69</f>
        <v>0</v>
      </c>
      <c r="Z69" s="116"/>
      <c r="AA69" s="114"/>
      <c r="AB69" s="114"/>
      <c r="AC69" s="115">
        <f t="shared" ref="AC69:AC70" si="35">AA69+AB69</f>
        <v>0</v>
      </c>
      <c r="AD69" s="116"/>
      <c r="AE69" s="114"/>
      <c r="AF69" s="114"/>
      <c r="AG69" s="115">
        <f t="shared" ref="AG69:AG70" si="36">AE69+AF69</f>
        <v>0</v>
      </c>
      <c r="AH69" s="116"/>
      <c r="AI69" s="114"/>
      <c r="AJ69" s="114"/>
      <c r="AK69" s="115">
        <f t="shared" ref="AK69:AK70" si="37">AI69+AJ69</f>
        <v>0</v>
      </c>
      <c r="AL69" s="116"/>
      <c r="AM69" s="114"/>
      <c r="AN69" s="114"/>
      <c r="AO69" s="115">
        <f t="shared" ref="AO69:AO70" si="38">AM69+AN69</f>
        <v>0</v>
      </c>
      <c r="AP69" s="116"/>
      <c r="AQ69" s="114"/>
      <c r="AR69" s="114"/>
      <c r="AS69" s="115">
        <f t="shared" ref="AS69:AS70" si="39">AQ69+AR69</f>
        <v>0</v>
      </c>
      <c r="AT69" s="114"/>
      <c r="AU69" s="114"/>
      <c r="AV69" s="114"/>
      <c r="AW69" s="117">
        <f t="shared" si="31"/>
        <v>0</v>
      </c>
      <c r="AX69" s="114"/>
      <c r="AY69" s="114"/>
      <c r="AZ69" s="114"/>
      <c r="BA69" s="115">
        <f t="shared" ref="BA69:BA70" si="40">AY69+AZ69</f>
        <v>0</v>
      </c>
      <c r="BB69" s="116"/>
      <c r="BC69" s="114"/>
      <c r="BD69" s="114"/>
      <c r="BE69" s="115">
        <f t="shared" ref="BE69:BE70" si="41">BC69+BD69</f>
        <v>0</v>
      </c>
      <c r="BF69" s="114"/>
      <c r="BG69" s="114"/>
      <c r="BH69" s="114"/>
      <c r="BI69" s="115">
        <f t="shared" ref="BI69:BI70" si="42">BG69+BH69</f>
        <v>0</v>
      </c>
      <c r="BJ69" s="114"/>
      <c r="BK69" s="114"/>
      <c r="BL69" s="114"/>
      <c r="BM69" s="115">
        <f t="shared" ref="BM69:BM70" si="43">BK69+BL69</f>
        <v>0</v>
      </c>
      <c r="BN69" s="114"/>
      <c r="BO69" s="114"/>
      <c r="BP69" s="114"/>
      <c r="BQ69" s="115">
        <f t="shared" ref="BQ69:BQ70" si="44">BO69+BP69</f>
        <v>0</v>
      </c>
      <c r="BR69" s="114"/>
      <c r="BS69" s="114"/>
      <c r="BT69" s="114"/>
      <c r="BU69" s="115">
        <f t="shared" ref="BU69:BU70" si="45">BS69+BT69</f>
        <v>0</v>
      </c>
      <c r="BV69" s="114"/>
      <c r="BW69" s="114"/>
      <c r="BX69" s="114"/>
      <c r="BY69" s="115">
        <f t="shared" ref="BY69:BY70" si="46">BW69+BX69</f>
        <v>0</v>
      </c>
      <c r="BZ69" s="114"/>
      <c r="CA69" s="114"/>
      <c r="CB69" s="114"/>
      <c r="CC69" s="115">
        <f t="shared" ref="CC69:CC70" si="47">CA69+CB69</f>
        <v>0</v>
      </c>
      <c r="CE69" s="114"/>
      <c r="CF69" s="114"/>
      <c r="CG69" s="115">
        <f t="shared" ref="CG69:CG70" si="48">CE69+CF69</f>
        <v>0</v>
      </c>
      <c r="CI69" s="114"/>
      <c r="CJ69" s="114"/>
      <c r="CK69" s="115">
        <f t="shared" ref="CK69:CK70" si="49">CI69+CJ69</f>
        <v>0</v>
      </c>
      <c r="CM69" s="114"/>
      <c r="CN69" s="114"/>
      <c r="CO69" s="115">
        <f t="shared" ref="CO69:CO70" si="50">CM69+CN69</f>
        <v>0</v>
      </c>
      <c r="CP69" s="114"/>
      <c r="CQ69" s="114"/>
      <c r="CR69" s="114"/>
      <c r="CS69" s="115">
        <f t="shared" ref="CS69:CS70" si="51">CQ69+CR69</f>
        <v>0</v>
      </c>
      <c r="CT69" s="114"/>
      <c r="CU69" s="114"/>
      <c r="CV69" s="114"/>
      <c r="CW69" s="115">
        <f t="shared" ref="CW69:CW70" si="52">CU69+CV69</f>
        <v>0</v>
      </c>
      <c r="CX69" s="114"/>
      <c r="CY69" s="114"/>
      <c r="CZ69" s="114"/>
      <c r="DA69" s="115">
        <f t="shared" ref="DA69:DA70" si="53">CY69+CZ69</f>
        <v>0</v>
      </c>
      <c r="DB69" s="114"/>
      <c r="DC69" s="114"/>
      <c r="DD69" s="114"/>
      <c r="DE69" s="115">
        <f t="shared" ref="DE69:DE70" si="54">DC69+DD69</f>
        <v>0</v>
      </c>
      <c r="DG69" s="114"/>
      <c r="DH69" s="114"/>
      <c r="DI69" s="115">
        <f t="shared" ref="DI69:DI70" si="55">DG69+DH69</f>
        <v>0</v>
      </c>
      <c r="DK69" s="114"/>
      <c r="DL69" s="114"/>
      <c r="DM69" s="115">
        <f t="shared" ref="DM69:DM70" si="56">DK69+DL69</f>
        <v>0</v>
      </c>
      <c r="DO69" s="107">
        <f t="shared" si="32"/>
        <v>0</v>
      </c>
      <c r="DP69"/>
      <c r="DQ69" s="129" t="str">
        <f t="shared" si="33"/>
        <v>-</v>
      </c>
      <c r="DR69"/>
      <c r="DS69" s="173" t="str">
        <f>IFERROR(RANK(DQ69,$DQ$6:$DQ$70)&amp;LOOKUP(RANK(DQ69,$DQ$6:$DQ$70),{1,2,3,4;"st","nd","rd","th"}),"-")</f>
        <v>-</v>
      </c>
      <c r="DT69" s="167">
        <f>'FIRST TERM'!DO69</f>
        <v>0</v>
      </c>
      <c r="DU69" s="168">
        <f>'SECOND TERM'!DO69</f>
        <v>0</v>
      </c>
      <c r="DV69" s="158">
        <f t="shared" si="28"/>
        <v>0</v>
      </c>
      <c r="DW69" s="177" t="str">
        <f>RANK(DV69,$DV$6:$DV$70)&amp;LOOKUP(RANK(DV69,$DV$6:$DV$70),{1,2,3,4;"st","nd","rd","th"})</f>
        <v>12th</v>
      </c>
    </row>
    <row r="70" spans="1:127" ht="15" thickBot="1">
      <c r="A70" s="75">
        <v>65</v>
      </c>
      <c r="B70" s="74"/>
      <c r="C70" s="37"/>
      <c r="D70" s="38"/>
      <c r="E70" s="39"/>
      <c r="F70"/>
      <c r="G70" s="34"/>
      <c r="H70" s="34"/>
      <c r="I70" s="34"/>
      <c r="J70" s="34"/>
      <c r="L70" s="36"/>
      <c r="M70" s="36"/>
      <c r="N70" s="36"/>
      <c r="O70" s="36"/>
      <c r="P70" s="36"/>
      <c r="Q70" s="36"/>
      <c r="S70" s="114"/>
      <c r="T70" s="114"/>
      <c r="U70" s="115">
        <f t="shared" ref="U70" si="57">S70+T70</f>
        <v>0</v>
      </c>
      <c r="V70" s="116"/>
      <c r="W70" s="114"/>
      <c r="X70" s="114"/>
      <c r="Y70" s="115">
        <f t="shared" si="34"/>
        <v>0</v>
      </c>
      <c r="Z70" s="116"/>
      <c r="AA70" s="114"/>
      <c r="AB70" s="114"/>
      <c r="AC70" s="115">
        <f t="shared" si="35"/>
        <v>0</v>
      </c>
      <c r="AD70" s="116"/>
      <c r="AE70" s="114"/>
      <c r="AF70" s="114"/>
      <c r="AG70" s="115">
        <f t="shared" si="36"/>
        <v>0</v>
      </c>
      <c r="AH70" s="116"/>
      <c r="AI70" s="114"/>
      <c r="AJ70" s="114"/>
      <c r="AK70" s="115">
        <f t="shared" si="37"/>
        <v>0</v>
      </c>
      <c r="AL70" s="116"/>
      <c r="AM70" s="114"/>
      <c r="AN70" s="114"/>
      <c r="AO70" s="115">
        <f t="shared" si="38"/>
        <v>0</v>
      </c>
      <c r="AP70" s="116"/>
      <c r="AQ70" s="114"/>
      <c r="AR70" s="114"/>
      <c r="AS70" s="115">
        <f t="shared" si="39"/>
        <v>0</v>
      </c>
      <c r="AT70" s="114"/>
      <c r="AU70" s="114"/>
      <c r="AV70" s="114"/>
      <c r="AW70" s="117">
        <f t="shared" si="31"/>
        <v>0</v>
      </c>
      <c r="AX70" s="114"/>
      <c r="AY70" s="114"/>
      <c r="AZ70" s="114"/>
      <c r="BA70" s="115">
        <f t="shared" si="40"/>
        <v>0</v>
      </c>
      <c r="BB70" s="116"/>
      <c r="BC70" s="114"/>
      <c r="BD70" s="114"/>
      <c r="BE70" s="115">
        <f t="shared" si="41"/>
        <v>0</v>
      </c>
      <c r="BF70" s="114"/>
      <c r="BG70" s="114"/>
      <c r="BH70" s="114"/>
      <c r="BI70" s="115">
        <f t="shared" si="42"/>
        <v>0</v>
      </c>
      <c r="BJ70" s="114"/>
      <c r="BK70" s="114"/>
      <c r="BL70" s="114"/>
      <c r="BM70" s="115">
        <f t="shared" si="43"/>
        <v>0</v>
      </c>
      <c r="BN70" s="114"/>
      <c r="BO70" s="114"/>
      <c r="BP70" s="114"/>
      <c r="BQ70" s="115">
        <f t="shared" si="44"/>
        <v>0</v>
      </c>
      <c r="BR70" s="114"/>
      <c r="BS70" s="114"/>
      <c r="BT70" s="114">
        <v>44</v>
      </c>
      <c r="BU70" s="115">
        <f t="shared" si="45"/>
        <v>44</v>
      </c>
      <c r="BV70" s="114"/>
      <c r="BW70" s="114"/>
      <c r="BX70" s="114">
        <v>60</v>
      </c>
      <c r="BY70" s="115">
        <f t="shared" si="46"/>
        <v>60</v>
      </c>
      <c r="BZ70" s="114"/>
      <c r="CA70" s="114"/>
      <c r="CB70" s="114">
        <v>1</v>
      </c>
      <c r="CC70" s="115">
        <f t="shared" si="47"/>
        <v>1</v>
      </c>
      <c r="CE70" s="114"/>
      <c r="CF70" s="114">
        <v>1</v>
      </c>
      <c r="CG70" s="115">
        <f t="shared" si="48"/>
        <v>1</v>
      </c>
      <c r="CI70" s="114"/>
      <c r="CJ70" s="114">
        <v>1</v>
      </c>
      <c r="CK70" s="115">
        <f t="shared" si="49"/>
        <v>1</v>
      </c>
      <c r="CM70" s="114"/>
      <c r="CN70" s="114"/>
      <c r="CO70" s="115">
        <f t="shared" si="50"/>
        <v>0</v>
      </c>
      <c r="CP70" s="114"/>
      <c r="CQ70" s="114"/>
      <c r="CR70" s="114"/>
      <c r="CS70" s="115">
        <f t="shared" si="51"/>
        <v>0</v>
      </c>
      <c r="CT70" s="114"/>
      <c r="CU70" s="114"/>
      <c r="CV70" s="114">
        <v>44</v>
      </c>
      <c r="CW70" s="115">
        <f t="shared" si="52"/>
        <v>44</v>
      </c>
      <c r="CX70" s="114"/>
      <c r="CY70" s="114"/>
      <c r="CZ70" s="114">
        <v>60</v>
      </c>
      <c r="DA70" s="115">
        <f t="shared" si="53"/>
        <v>60</v>
      </c>
      <c r="DB70" s="114"/>
      <c r="DC70" s="114"/>
      <c r="DD70" s="114">
        <v>1</v>
      </c>
      <c r="DE70" s="115">
        <f t="shared" si="54"/>
        <v>1</v>
      </c>
      <c r="DG70" s="114"/>
      <c r="DH70" s="114">
        <v>1</v>
      </c>
      <c r="DI70" s="115">
        <f t="shared" si="55"/>
        <v>1</v>
      </c>
      <c r="DK70" s="114"/>
      <c r="DL70" s="114">
        <v>1</v>
      </c>
      <c r="DM70" s="115">
        <f t="shared" si="56"/>
        <v>1</v>
      </c>
      <c r="DO70" s="107">
        <f t="shared" si="32"/>
        <v>214</v>
      </c>
      <c r="DP70"/>
      <c r="DQ70" s="129">
        <f t="shared" si="33"/>
        <v>0.214</v>
      </c>
      <c r="DR70"/>
      <c r="DS70" s="173" t="str">
        <f>IFERROR(RANK(DQ70,$DQ$6:$DQ$70)&amp;LOOKUP(RANK(DQ70,$DQ$6:$DQ$70),{1,2,3,4;"st","nd","rd","th"}),"-")</f>
        <v>1st</v>
      </c>
      <c r="DT70" s="167">
        <f>'FIRST TERM'!DO70</f>
        <v>0</v>
      </c>
      <c r="DU70" s="168">
        <f>'SECOND TERM'!DO70</f>
        <v>328</v>
      </c>
      <c r="DV70" s="158">
        <f t="shared" si="28"/>
        <v>542</v>
      </c>
      <c r="DW70" s="177" t="str">
        <f>RANK(DV70,$DV$6:$DV$70)&amp;LOOKUP(RANK(DV70,$DV$6:$DV$70),{1,2,3,4;"st","nd","rd","th"})</f>
        <v>8th</v>
      </c>
    </row>
    <row r="71" spans="1:127" ht="15.5">
      <c r="F71"/>
      <c r="Z71" s="72"/>
      <c r="AD71" s="72"/>
      <c r="AL71" s="72"/>
      <c r="BB71" s="72"/>
      <c r="BC71" s="77"/>
    </row>
    <row r="72" spans="1:127">
      <c r="X72"/>
      <c r="Z72" s="72"/>
      <c r="AD72" s="72"/>
      <c r="AL72" s="72"/>
      <c r="BB72" s="72"/>
    </row>
    <row r="73" spans="1:127">
      <c r="AD73" s="72"/>
    </row>
  </sheetData>
  <sheetProtection password="D9FE"/>
  <mergeCells count="28">
    <mergeCell ref="AI2:AK3"/>
    <mergeCell ref="DT4:DW4"/>
    <mergeCell ref="AM2:AO3"/>
    <mergeCell ref="AQ2:AS3"/>
    <mergeCell ref="AU2:AW3"/>
    <mergeCell ref="AY2:BA3"/>
    <mergeCell ref="BC2:BE3"/>
    <mergeCell ref="BG2:BI3"/>
    <mergeCell ref="CM2:CO3"/>
    <mergeCell ref="CQ2:CS3"/>
    <mergeCell ref="DG2:DI3"/>
    <mergeCell ref="DK2:DM3"/>
    <mergeCell ref="DO3:DS3"/>
    <mergeCell ref="CU2:CW3"/>
    <mergeCell ref="CY2:DA3"/>
    <mergeCell ref="DC2:DE3"/>
    <mergeCell ref="A1:B2"/>
    <mergeCell ref="S2:U3"/>
    <mergeCell ref="W2:Y3"/>
    <mergeCell ref="AA2:AC3"/>
    <mergeCell ref="AE2:AG3"/>
    <mergeCell ref="CE2:CG3"/>
    <mergeCell ref="CI2:CK3"/>
    <mergeCell ref="BK2:BM3"/>
    <mergeCell ref="BO2:BQ3"/>
    <mergeCell ref="BS2:BU3"/>
    <mergeCell ref="BW2:BY3"/>
    <mergeCell ref="CA2:CC3"/>
  </mergeCells>
  <dataValidations count="2">
    <dataValidation type="custom" showInputMessage="1" showErrorMessage="1" error="Sebeelil!, You Can't Include Such Value, Ok." sqref="T6:T70 CJ6:CJ70 CF6:CF70 BL6:BL70 BP6:BP70 BT6:BT70 BX6:BX70 CB6:CB70 DL6:DL70 DH6:DH70 X6:X70 AB6:AB70 AF6:AF70 AJ6:AJ70 AN6:AN70 AR6:AR70 AV6:AV70 AZ6:AZ70 BD6:BD70 BH6:BH70 CN6:CN70 CR6:CR70 CV6:CV70 CZ6:CZ70 DD6:DD70" xr:uid="{00000000-0002-0000-0500-000000000000}">
      <formula1>T6&lt;=$T$5</formula1>
    </dataValidation>
    <dataValidation type="custom" allowBlank="1" showInputMessage="1" showErrorMessage="1" sqref="S6:S70 CI6:CI70 CE6:CE70 BK6:BK70 BO6:BO70 BS6:BS70 BW6:BW70 CA6:CA70 DK6:DK70 DG6:DG70 W6:W70 AA6:AA70 AE6:AE70 AI6:AI70 AM6:AM70 AQ6:AQ70 AU6:AU70 AY6:AY70 BC6:BC70 BG6:BG70 CM6:CM70 CQ6:CQ70 CU6:CU70 CY6:CY70 DC6:DC70" xr:uid="{00000000-0002-0000-0500-000001000000}">
      <formula1>S6&lt;=$S$5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500-000002000000}">
          <x14:formula1>
            <xm:f>setup1!$E$2:$E$25</xm:f>
          </x14:formula1>
          <xm:sqref>AE2 AI2 BC2 BG2 AM2 AY2 CM2 CQ2 CY2 CU2 DC2 W2 S2 AA2 AQ2 AU2 DG2 DK2 BK2 BO2 BW2 BS2 CA2 CE2 CI2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50A85-2060-4B30-9A32-F551B66F81E0}">
  <sheetPr codeName="Sheet6">
    <tabColor theme="9"/>
    <pageSetUpPr fitToPage="1"/>
  </sheetPr>
  <dimension ref="A1:Q84"/>
  <sheetViews>
    <sheetView showGridLines="0" zoomScale="80" zoomScaleNormal="80" workbookViewId="0"/>
  </sheetViews>
  <sheetFormatPr defaultColWidth="9.1796875" defaultRowHeight="14.5"/>
  <cols>
    <col min="1" max="1" width="29.54296875" style="9" bestFit="1" customWidth="1"/>
    <col min="2" max="2" width="21.453125" style="9" bestFit="1" customWidth="1"/>
    <col min="3" max="3" width="19.1796875" style="9" bestFit="1" customWidth="1"/>
    <col min="4" max="4" width="23.1796875" style="9" bestFit="1" customWidth="1"/>
    <col min="5" max="5" width="17.81640625" style="9" bestFit="1" customWidth="1"/>
    <col min="6" max="6" width="15.81640625" style="9" bestFit="1" customWidth="1"/>
    <col min="7" max="7" width="8.81640625" style="9" customWidth="1"/>
    <col min="8" max="8" width="0.7265625" style="196" customWidth="1"/>
    <col min="9" max="12" width="9.1796875" style="9"/>
    <col min="13" max="13" width="18.1796875" style="9" bestFit="1" customWidth="1"/>
    <col min="14" max="16" width="9.1796875" style="9"/>
    <col min="17" max="17" width="11.26953125" style="9" bestFit="1" customWidth="1"/>
    <col min="18" max="16384" width="9.1796875" style="9"/>
  </cols>
  <sheetData>
    <row r="1" spans="1:17">
      <c r="A1" s="22"/>
      <c r="B1" s="8"/>
      <c r="C1" s="8"/>
      <c r="D1" s="8"/>
      <c r="E1" s="8"/>
      <c r="F1" s="8"/>
    </row>
    <row r="2" spans="1:17">
      <c r="A2" s="8"/>
      <c r="B2" s="8"/>
      <c r="C2" s="8"/>
      <c r="D2" s="8"/>
      <c r="E2" s="8"/>
      <c r="F2" s="8"/>
    </row>
    <row r="3" spans="1:17">
      <c r="A3" s="8"/>
      <c r="B3" s="8"/>
      <c r="C3" s="8"/>
      <c r="D3" s="8"/>
      <c r="E3" s="8"/>
      <c r="F3" s="8"/>
    </row>
    <row r="4" spans="1:17">
      <c r="A4" s="8"/>
      <c r="B4" s="8"/>
      <c r="C4" s="8"/>
      <c r="D4" s="8"/>
      <c r="E4" s="8"/>
      <c r="F4" s="8"/>
    </row>
    <row r="5" spans="1:17">
      <c r="A5" s="8"/>
      <c r="B5" s="8"/>
      <c r="C5" s="8"/>
      <c r="D5" s="8"/>
      <c r="E5" s="8"/>
      <c r="F5" s="8"/>
    </row>
    <row r="6" spans="1:17">
      <c r="A6" s="8"/>
      <c r="B6" s="278" t="str">
        <f>IF(H7=1,"FIRST TERM",IF(H7=2,"SECOND TERM",IF(H7=3,"THIRD TERM")))&amp;" REPORT CARD"</f>
        <v>FIRST TERM REPORT CARD</v>
      </c>
      <c r="C6" s="278"/>
      <c r="D6" s="278"/>
    </row>
    <row r="7" spans="1:17">
      <c r="A7" s="8"/>
      <c r="B7" s="278"/>
      <c r="C7" s="278"/>
      <c r="D7" s="278"/>
      <c r="H7" s="196">
        <v>1</v>
      </c>
      <c r="N7"/>
      <c r="O7"/>
    </row>
    <row r="8" spans="1:17" ht="15.5">
      <c r="A8" s="201" t="s">
        <v>37</v>
      </c>
      <c r="B8" s="279" t="str">
        <f>INDEX('Student List'!$A$2:$A$500,$H$10,1)</f>
        <v>ABDULFATAI ISMAIL</v>
      </c>
      <c r="C8" s="279"/>
      <c r="D8" s="279"/>
      <c r="N8"/>
      <c r="O8"/>
    </row>
    <row r="9" spans="1:17" ht="16" thickBot="1">
      <c r="A9" s="40" t="s">
        <v>167</v>
      </c>
      <c r="B9" s="279" t="str">
        <f>VLOOKUP($B$8,'Student List'!$A$2:$B$500,2,0)</f>
        <v>RMC1</v>
      </c>
      <c r="C9" s="279"/>
      <c r="D9" s="279"/>
      <c r="N9"/>
      <c r="O9"/>
    </row>
    <row r="10" spans="1:17" ht="16" thickBot="1">
      <c r="A10" s="280" t="s">
        <v>1</v>
      </c>
      <c r="B10" s="281"/>
      <c r="C10" s="282" t="str">
        <f>INDEX('Student List'!$A$2:$C$500,$H$10,3)</f>
        <v>Female</v>
      </c>
      <c r="D10" s="54" t="s">
        <v>0</v>
      </c>
      <c r="E10" s="18" t="str">
        <f>Setup!E4</f>
        <v>S.S.S 2</v>
      </c>
      <c r="F10" s="284" t="str">
        <f>IFERROR(IF(E13&gt;=70%,"A",IF(E13&gt;=70%,"B",IF(E13&gt;=50%,"C",IF(E13&gt;=45%,"D",IF(E13&gt;=40%,"E","F"))))),"-")</f>
        <v>C</v>
      </c>
      <c r="H10" s="28">
        <v>1</v>
      </c>
      <c r="N10"/>
      <c r="O10"/>
    </row>
    <row r="11" spans="1:17" ht="15" thickBot="1">
      <c r="A11" s="10" t="s">
        <v>11</v>
      </c>
      <c r="B11" s="132" t="s">
        <v>12</v>
      </c>
      <c r="C11" s="283"/>
      <c r="D11" s="54" t="s">
        <v>29</v>
      </c>
      <c r="E11" s="25" t="str">
        <f>Setup!G4</f>
        <v>2022/2023</v>
      </c>
      <c r="F11" s="284"/>
      <c r="N11"/>
      <c r="O11"/>
    </row>
    <row r="12" spans="1:17" ht="15" customHeight="1">
      <c r="A12" s="11" t="s">
        <v>83</v>
      </c>
      <c r="B12" s="131">
        <f>IF($H$7=1,INDEX('FIRST TERM'!$C$6:$E$70,MATCH($B$8,'FIRST TERM'!$B$6:$B$70,0),MATCH($A12,'FIRST TERM'!$C$5:$E$5,0)),IF($H$7=2,INDEX('SECOND TERM'!$C$6:$E$70,MATCH($B$8,'SECOND TERM'!$B$6:$B$70,0),MATCH($A12,'SECOND TERM'!$C$5:$E$5,0)),IF($H$7=3,INDEX('THIRD TERM'!$C$6:$E$70,MATCH($B$8,'THIRD TERM'!$B$6:$B$70,0),MATCH($A12,'THIRD TERM'!$C$5:$E$5,0)))))</f>
        <v>136</v>
      </c>
      <c r="C12"/>
      <c r="D12" s="23" t="s">
        <v>13</v>
      </c>
      <c r="E12" s="24">
        <f>Setup!F4</f>
        <v>14</v>
      </c>
      <c r="F12" s="284"/>
      <c r="N12"/>
      <c r="O12"/>
      <c r="P12"/>
      <c r="Q12"/>
    </row>
    <row r="13" spans="1:17" ht="15.75" customHeight="1">
      <c r="A13" s="11" t="s">
        <v>2</v>
      </c>
      <c r="B13" s="131">
        <f>IF($H$7=1,INDEX('FIRST TERM'!$C$6:$E$70,MATCH($B$8,'FIRST TERM'!$B$6:$B$70,0),MATCH($A13,'FIRST TERM'!$C$5:$E$5,0)),IF($H$7=2,INDEX('SECOND TERM'!$C$6:$E$70,MATCH($B$8,'SECOND TERM'!$B$6:$B$70,0),MATCH($A13,'SECOND TERM'!$C$5:$E$5,0)),IF($H$7=3,INDEX('THIRD TERM'!$C$6:$E$70,MATCH($B$8,'THIRD TERM'!$B$6:$B$70,0),MATCH($A13,'THIRD TERM'!$C$5:$E$5,0)))))</f>
        <v>136</v>
      </c>
      <c r="C13"/>
      <c r="D13" s="68" t="s">
        <v>15</v>
      </c>
      <c r="E13" s="69">
        <f>IFERROR(SUMIF($D$18:$D$42,"&gt;0")/(COUNTIF($D$18:$D$42,"&gt;0")*100),"-")</f>
        <v>0.63749999999999996</v>
      </c>
      <c r="F13" s="70" t="s">
        <v>14</v>
      </c>
      <c r="N13"/>
      <c r="O13"/>
      <c r="P13"/>
      <c r="Q13"/>
    </row>
    <row r="14" spans="1:17" ht="15.75" customHeight="1" thickBot="1">
      <c r="A14" s="13" t="s">
        <v>25</v>
      </c>
      <c r="B14" s="131">
        <f>IF($H$7=1,INDEX('FIRST TERM'!$C$6:$E$70,MATCH($B$8,'FIRST TERM'!$B$6:$B$70,0),MATCH($A14,'FIRST TERM'!$C$5:$E$5,0)),IF($H$7=2,INDEX('SECOND TERM'!$C$6:$E$70,MATCH($B$8,'SECOND TERM'!$B$6:$B$70,0),MATCH($A14,'SECOND TERM'!$C$5:$E$5,0)),IF($H$7=3,INDEX('THIRD TERM'!$C$6:$E$70,MATCH($B$8,'THIRD TERM'!$B$6:$B$70,0),MATCH($A14,'THIRD TERM'!$C$5:$E$5,0)))))</f>
        <v>0</v>
      </c>
      <c r="C14"/>
      <c r="D14" s="143" t="s">
        <v>65</v>
      </c>
      <c r="E14" s="246" t="str">
        <f>Setup!J4</f>
        <v>09, Jan. 2022</v>
      </c>
      <c r="F14" s="247"/>
      <c r="N14"/>
      <c r="O14"/>
      <c r="P14"/>
      <c r="Q14"/>
    </row>
    <row r="15" spans="1:17" ht="15.75" customHeight="1" thickBot="1">
      <c r="A15" s="8"/>
      <c r="B15" s="8"/>
      <c r="C15" s="8"/>
      <c r="N15"/>
      <c r="O15"/>
      <c r="P15"/>
      <c r="Q15"/>
    </row>
    <row r="16" spans="1:17" ht="15" customHeight="1">
      <c r="A16" s="14"/>
      <c r="B16" s="26" t="s">
        <v>67</v>
      </c>
      <c r="C16" s="15" t="s">
        <v>36</v>
      </c>
      <c r="D16" s="15" t="s">
        <v>9</v>
      </c>
      <c r="E16" s="257" t="s">
        <v>16</v>
      </c>
      <c r="F16" s="259" t="s">
        <v>23</v>
      </c>
      <c r="N16"/>
      <c r="O16"/>
      <c r="P16"/>
      <c r="Q16"/>
    </row>
    <row r="17" spans="1:17">
      <c r="A17" s="60" t="s">
        <v>17</v>
      </c>
      <c r="B17" s="61">
        <v>40</v>
      </c>
      <c r="C17" s="195">
        <v>60</v>
      </c>
      <c r="D17" s="195">
        <v>100</v>
      </c>
      <c r="E17" s="258"/>
      <c r="F17" s="260"/>
      <c r="N17"/>
      <c r="O17"/>
      <c r="P17"/>
      <c r="Q17"/>
    </row>
    <row r="18" spans="1:17">
      <c r="A18" s="16" t="str">
        <f>IF($H$7=1,'FIRST TERM'!$S$2,IF($H$7=2,'SECOND TERM'!$S$2,'THIRD TERM'!$S$2))</f>
        <v>ENGLISH LANGUAGE</v>
      </c>
      <c r="B18" s="27">
        <f>IF((IF($H$7=1,INDEX('FIRST TERM'!$S$6:$DM$70,MATCH($B$8,'FIRST TERM'!$B$6:$B$24,0),MATCH($A18&amp;$B$16,'FIRST TERM'!$S$1:$DM$1,0)),IF($H$7=2,INDEX('SECOND TERM'!$S$6:$DM$70,MATCH($B$8,'SECOND TERM'!$B$6:$B$24,0),MATCH($A18&amp;$B$16,'SECOND TERM'!$S$1:$DM$1,0)),IF($H$7=3,INDEX('SECOND TERM'!$S$6:$DM$70,MATCH($B$8,'SECOND TERM'!$B$6:$B$24,0),MATCH($A18&amp;$B$16,'SECOND TERM'!$S$1:$DM$1,0))))))&gt;0,IF($H$7=1,INDEX('FIRST TERM'!$S$6:$DM$70,MATCH($B$8,'FIRST TERM'!$B$6:$B$24,0),MATCH($A18&amp;$B$16,'FIRST TERM'!$S$1:$DM$1,0)),IF($H$7=2,INDEX('SECOND TERM'!$S$6:$DM$70,MATCH($B$8,'SECOND TERM'!$B$6:$B$24,0),MATCH($A18&amp;$B$16,'SECOND TERM'!$S$1:$DM$1,0)),IF($H$7=3,INDEX('SECOND TERM'!$S$6:$DM$70,MATCH($B$8,'SECOND TERM'!$B$6:$B$24,0),MATCH($A18&amp;$B$16,'SECOND TERM'!$S$1:$DM$1,0))))),"-")</f>
        <v>12</v>
      </c>
      <c r="C18" s="27">
        <f>IF((IF($H$7=1,INDEX('FIRST TERM'!$S$6:$DM$70,MATCH($B$8,'FIRST TERM'!$B$6:$B$24,0),MATCH($A18&amp;$C$16,'FIRST TERM'!$S$1:$DM$1,0)),IF($H$7=2,INDEX('SECOND TERM'!$S$6:$DM$70,MATCH($B$8,'SECOND TERM'!$B$6:$B$24,0),MATCH($A18&amp;$C$16,'SECOND TERM'!$S$1:$DM$1,0)),IF($H$7=3,INDEX('SECOND TERM'!$S$6:$DM$70,MATCH($B$8,'SECOND TERM'!$B$6:$B$24,0),MATCH($A18&amp;$C$16,'SECOND TERM'!$S$1:$DM$1,0))))))&gt;0,IF($H$7=1,INDEX('FIRST TERM'!$S$6:$DM$70,MATCH($B$8,'FIRST TERM'!$B$6:$B$24,0),MATCH($A18&amp;$C$16,'FIRST TERM'!$S$1:$DM$1,0)),IF($H$7=2,INDEX('SECOND TERM'!$S$6:$DM$70,MATCH($B$8,'SECOND TERM'!$B$6:$B$24,0),MATCH($A18&amp;$C$16,'SECOND TERM'!$S$1:$DM$1,0)),IF($H$7=3,INDEX('SECOND TERM'!$S$6:$DM$70,MATCH($B$8,'SECOND TERM'!$B$6:$B$24,0),MATCH($A18&amp;$C$16,'SECOND TERM'!$S$1:$DM$1,0))))),"-")</f>
        <v>39</v>
      </c>
      <c r="D18" s="17">
        <f>IF(IFERROR(B18+C18,0)&gt;0,B18+C18,"-")</f>
        <v>51</v>
      </c>
      <c r="E18" s="17" t="str">
        <f>IF(D18="-","-",IF(D18&gt;=75,"A1",IF(D18&gt;=70,"B2",IF(D18&gt;=65,"B3",IF(D18&gt;=60,"C4",IF(D18&gt;=55,"C5",IF(D18&gt;=50,"C6",IF(D18&gt;=45,"D7",IF(D18&gt;=40,"E8","F")))))))))</f>
        <v>C6</v>
      </c>
      <c r="F18" s="18" t="str">
        <f>IF(E18="-","-",IF(E18="A1","Exceptional",IF(E18="B2","Excellent",IF(E18="B3","Extremely Good",IF(E18="C4","Very Good",IF(E18="C5","Good",IF(E18="C6","Credit",IF(E18="D7","Pass",IF(E18="E8","Pass",IF(E18="F","Fail"))))))))))</f>
        <v>Credit</v>
      </c>
      <c r="L18" s="197"/>
      <c r="N18"/>
      <c r="O18"/>
      <c r="P18"/>
      <c r="Q18"/>
    </row>
    <row r="19" spans="1:17">
      <c r="A19" s="16" t="str">
        <f>IF($H$7=1,'FIRST TERM'!$W$2,IF($H$7=2,'SECOND TERM'!$W$2,'THIRD TERM'!$W$2))</f>
        <v>MATHEMATICS</v>
      </c>
      <c r="B19" s="27">
        <f>IF((IF($H$7=1,INDEX('FIRST TERM'!$S$6:$DM$70,MATCH($B$8,'FIRST TERM'!$B$6:$B$24,0),MATCH($A19&amp;$B$16,'FIRST TERM'!$S$1:$DM$1,0)),IF($H$7=2,INDEX('SECOND TERM'!$S$6:$DM$70,MATCH($B$8,'SECOND TERM'!$B$6:$B$24,0),MATCH($A19&amp;$B$16,'SECOND TERM'!$S$1:$DM$1,0)),IF($H$7=3,INDEX('SECOND TERM'!$S$6:$DM$70,MATCH($B$8,'SECOND TERM'!$B$6:$B$24,0),MATCH($A19&amp;$B$16,'SECOND TERM'!$S$1:$DM$1,0))))))&gt;0,IF($H$7=1,INDEX('FIRST TERM'!$S$6:$DM$70,MATCH($B$8,'FIRST TERM'!$B$6:$B$24,0),MATCH($A19&amp;$B$16,'FIRST TERM'!$S$1:$DM$1,0)),IF($H$7=2,INDEX('SECOND TERM'!$S$6:$DM$70,MATCH($B$8,'SECOND TERM'!$B$6:$B$24,0),MATCH($A19&amp;$B$16,'SECOND TERM'!$S$1:$DM$1,0)),IF($H$7=3,INDEX('SECOND TERM'!$S$6:$DM$70,MATCH($B$8,'SECOND TERM'!$B$6:$B$24,0),MATCH($A19&amp;$B$16,'SECOND TERM'!$S$1:$DM$1,0))))),"-")</f>
        <v>40</v>
      </c>
      <c r="C19" s="27">
        <f>IF((IF($H$7=1,INDEX('FIRST TERM'!$S$6:$DM$70,MATCH($B$8,'FIRST TERM'!$B$6:$B$24,0),MATCH($A19&amp;$C$16,'FIRST TERM'!$S$1:$DM$1,0)),IF($H$7=2,INDEX('SECOND TERM'!$S$6:$DM$70,MATCH($B$8,'SECOND TERM'!$B$6:$B$24,0),MATCH($A19&amp;$C$16,'SECOND TERM'!$S$1:$DM$1,0)),IF($H$7=3,INDEX('SECOND TERM'!$S$6:$DM$70,MATCH($B$8,'SECOND TERM'!$B$6:$B$24,0),MATCH($A19&amp;$C$16,'SECOND TERM'!$S$1:$DM$1,0))))))&gt;0,IF($H$7=1,INDEX('FIRST TERM'!$S$6:$DM$70,MATCH($B$8,'FIRST TERM'!$B$6:$B$24,0),MATCH($A19&amp;$C$16,'FIRST TERM'!$S$1:$DM$1,0)),IF($H$7=2,INDEX('SECOND TERM'!$S$6:$DM$70,MATCH($B$8,'SECOND TERM'!$B$6:$B$24,0),MATCH($A19&amp;$C$16,'SECOND TERM'!$S$1:$DM$1,0)),IF($H$7=3,INDEX('SECOND TERM'!$S$6:$DM$70,MATCH($B$8,'SECOND TERM'!$B$6:$B$24,0),MATCH($A19&amp;$C$16,'SECOND TERM'!$S$1:$DM$1,0))))),"-")</f>
        <v>44</v>
      </c>
      <c r="D19" s="17">
        <f t="shared" ref="D19:D42" si="0">IF(IFERROR(B19+C19,0)&gt;0,B19+C19,"-")</f>
        <v>84</v>
      </c>
      <c r="E19" s="17" t="str">
        <f t="shared" ref="E19:E42" si="1">IF(D19="-","-",IF(D19&gt;=75,"A1",IF(D19&gt;=70,"B2",IF(D19&gt;=65,"B3",IF(D19&gt;=60,"C4",IF(D19&gt;=55,"C5",IF(D19&gt;=50,"C6",IF(D19&gt;=45,"D7",IF(D19&gt;=40,"E8","F")))))))))</f>
        <v>A1</v>
      </c>
      <c r="F19" s="18" t="str">
        <f t="shared" ref="F19:F42" si="2">IF(E19="-","-",IF(E19="A1","Exceptional",IF(E19="B2","Excellent",IF(E19="B3","Extremely Good",IF(E19="C4","Very Good",IF(E19="C5","Good",IF(E19="C6","Credit",IF(E19="D7","Pass",IF(E19="E8","Pass",IF(E19="F","Fail"))))))))))</f>
        <v>Exceptional</v>
      </c>
      <c r="N19"/>
      <c r="O19"/>
      <c r="P19"/>
      <c r="Q19"/>
    </row>
    <row r="20" spans="1:17">
      <c r="A20" s="16" t="str">
        <f>IF($H$7=1,'FIRST TERM'!$AA$2,IF($H$7=2,'SECOND TERM'!$AA$2,'THIRD TERM'!$AA$2))</f>
        <v>PHYSICS</v>
      </c>
      <c r="B20" s="27">
        <f>IF((IF($H$7=1,INDEX('FIRST TERM'!$S$6:$DM$70,MATCH($B$8,'FIRST TERM'!$B$6:$B$24,0),MATCH($A20&amp;$B$16,'FIRST TERM'!$S$1:$DM$1,0)),IF($H$7=2,INDEX('SECOND TERM'!$S$6:$DM$70,MATCH($B$8,'SECOND TERM'!$B$6:$B$24,0),MATCH($A20&amp;$B$16,'SECOND TERM'!$S$1:$DM$1,0)),IF($H$7=3,INDEX('SECOND TERM'!$S$6:$DM$70,MATCH($B$8,'SECOND TERM'!$B$6:$B$24,0),MATCH($A20&amp;$B$16,'SECOND TERM'!$S$1:$DM$1,0))))))&gt;0,IF($H$7=1,INDEX('FIRST TERM'!$S$6:$DM$70,MATCH($B$8,'FIRST TERM'!$B$6:$B$24,0),MATCH($A20&amp;$B$16,'FIRST TERM'!$S$1:$DM$1,0)),IF($H$7=2,INDEX('SECOND TERM'!$S$6:$DM$70,MATCH($B$8,'SECOND TERM'!$B$6:$B$24,0),MATCH($A20&amp;$B$16,'SECOND TERM'!$S$1:$DM$1,0)),IF($H$7=3,INDEX('SECOND TERM'!$S$6:$DM$70,MATCH($B$8,'SECOND TERM'!$B$6:$B$24,0),MATCH($A20&amp;$B$16,'SECOND TERM'!$S$1:$DM$1,0))))),"-")</f>
        <v>29</v>
      </c>
      <c r="C20" s="27">
        <f>IF((IF($H$7=1,INDEX('FIRST TERM'!$S$6:$DM$70,MATCH($B$8,'FIRST TERM'!$B$6:$B$24,0),MATCH($A20&amp;$C$16,'FIRST TERM'!$S$1:$DM$1,0)),IF($H$7=2,INDEX('SECOND TERM'!$S$6:$DM$70,MATCH($B$8,'SECOND TERM'!$B$6:$B$24,0),MATCH($A20&amp;$C$16,'SECOND TERM'!$S$1:$DM$1,0)),IF($H$7=3,INDEX('SECOND TERM'!$S$6:$DM$70,MATCH($B$8,'SECOND TERM'!$B$6:$B$24,0),MATCH($A20&amp;$C$16,'SECOND TERM'!$S$1:$DM$1,0))))))&gt;0,IF($H$7=1,INDEX('FIRST TERM'!$S$6:$DM$70,MATCH($B$8,'FIRST TERM'!$B$6:$B$24,0),MATCH($A20&amp;$C$16,'FIRST TERM'!$S$1:$DM$1,0)),IF($H$7=2,INDEX('SECOND TERM'!$S$6:$DM$70,MATCH($B$8,'SECOND TERM'!$B$6:$B$24,0),MATCH($A20&amp;$C$16,'SECOND TERM'!$S$1:$DM$1,0)),IF($H$7=3,INDEX('SECOND TERM'!$S$6:$DM$70,MATCH($B$8,'SECOND TERM'!$B$6:$B$24,0),MATCH($A20&amp;$C$16,'SECOND TERM'!$S$1:$DM$1,0))))),"-")</f>
        <v>25</v>
      </c>
      <c r="D20" s="17">
        <f t="shared" si="0"/>
        <v>54</v>
      </c>
      <c r="E20" s="17" t="str">
        <f t="shared" si="1"/>
        <v>C6</v>
      </c>
      <c r="F20" s="18" t="str">
        <f t="shared" si="2"/>
        <v>Credit</v>
      </c>
      <c r="N20"/>
      <c r="O20"/>
      <c r="P20"/>
      <c r="Q20"/>
    </row>
    <row r="21" spans="1:17">
      <c r="A21" s="16" t="str">
        <f>IF($H$7=1,'FIRST TERM'!$AE$2,IF($H$7=2,'SECOND TERM'!$AE$2,'THIRD TERM'!$AE$2))</f>
        <v>CHEMISTRY</v>
      </c>
      <c r="B21" s="27">
        <f>IF((IF($H$7=1,INDEX('FIRST TERM'!$S$6:$DM$70,MATCH($B$8,'FIRST TERM'!$B$6:$B$24,0),MATCH($A21&amp;$B$16,'FIRST TERM'!$S$1:$DM$1,0)),IF($H$7=2,INDEX('SECOND TERM'!$S$6:$DM$70,MATCH($B$8,'SECOND TERM'!$B$6:$B$24,0),MATCH($A21&amp;$B$16,'SECOND TERM'!$S$1:$DM$1,0)),IF($H$7=3,INDEX('SECOND TERM'!$S$6:$DM$70,MATCH($B$8,'SECOND TERM'!$B$6:$B$24,0),MATCH($A21&amp;$B$16,'SECOND TERM'!$S$1:$DM$1,0))))))&gt;0,IF($H$7=1,INDEX('FIRST TERM'!$S$6:$DM$70,MATCH($B$8,'FIRST TERM'!$B$6:$B$24,0),MATCH($A21&amp;$B$16,'FIRST TERM'!$S$1:$DM$1,0)),IF($H$7=2,INDEX('SECOND TERM'!$S$6:$DM$70,MATCH($B$8,'SECOND TERM'!$B$6:$B$24,0),MATCH($A21&amp;$B$16,'SECOND TERM'!$S$1:$DM$1,0)),IF($H$7=3,INDEX('SECOND TERM'!$S$6:$DM$70,MATCH($B$8,'SECOND TERM'!$B$6:$B$24,0),MATCH($A21&amp;$B$16,'SECOND TERM'!$S$1:$DM$1,0))))),"-")</f>
        <v>24</v>
      </c>
      <c r="C21" s="27">
        <f>IF((IF($H$7=1,INDEX('FIRST TERM'!$S$6:$DM$70,MATCH($B$8,'FIRST TERM'!$B$6:$B$24,0),MATCH($A21&amp;$C$16,'FIRST TERM'!$S$1:$DM$1,0)),IF($H$7=2,INDEX('SECOND TERM'!$S$6:$DM$70,MATCH($B$8,'SECOND TERM'!$B$6:$B$24,0),MATCH($A21&amp;$C$16,'SECOND TERM'!$S$1:$DM$1,0)),IF($H$7=3,INDEX('SECOND TERM'!$S$6:$DM$70,MATCH($B$8,'SECOND TERM'!$B$6:$B$24,0),MATCH($A21&amp;$C$16,'SECOND TERM'!$S$1:$DM$1,0))))))&gt;0,IF($H$7=1,INDEX('FIRST TERM'!$S$6:$DM$70,MATCH($B$8,'FIRST TERM'!$B$6:$B$24,0),MATCH($A21&amp;$C$16,'FIRST TERM'!$S$1:$DM$1,0)),IF($H$7=2,INDEX('SECOND TERM'!$S$6:$DM$70,MATCH($B$8,'SECOND TERM'!$B$6:$B$24,0),MATCH($A21&amp;$C$16,'SECOND TERM'!$S$1:$DM$1,0)),IF($H$7=3,INDEX('SECOND TERM'!$S$6:$DM$70,MATCH($B$8,'SECOND TERM'!$B$6:$B$24,0),MATCH($A21&amp;$C$16,'SECOND TERM'!$S$1:$DM$1,0))))),"-")</f>
        <v>30</v>
      </c>
      <c r="D21" s="17">
        <f t="shared" si="0"/>
        <v>54</v>
      </c>
      <c r="E21" s="17" t="str">
        <f t="shared" si="1"/>
        <v>C6</v>
      </c>
      <c r="F21" s="18" t="str">
        <f t="shared" si="2"/>
        <v>Credit</v>
      </c>
      <c r="L21" s="197"/>
    </row>
    <row r="22" spans="1:17">
      <c r="A22" s="16" t="str">
        <f>IF($H$7=1,'FIRST TERM'!$AI$2,IF($H$7=2,'SECOND TERM'!$AI$2,'THIRD TERM'!$AI$2))</f>
        <v>-</v>
      </c>
      <c r="B22" s="27" t="str">
        <f>IF((IF($H$7=1,INDEX('FIRST TERM'!$S$6:$DM$70,MATCH($B$8,'FIRST TERM'!$B$6:$B$24,0),MATCH($A22&amp;$B$16,'FIRST TERM'!$S$1:$DM$1,0)),IF($H$7=2,INDEX('SECOND TERM'!$S$6:$DM$70,MATCH($B$8,'SECOND TERM'!$B$6:$B$24,0),MATCH($A22&amp;$B$16,'SECOND TERM'!$S$1:$DM$1,0)),IF($H$7=3,INDEX('SECOND TERM'!$S$6:$DM$70,MATCH($B$8,'SECOND TERM'!$B$6:$B$24,0),MATCH($A22&amp;$B$16,'SECOND TERM'!$S$1:$DM$1,0))))))&gt;0,IF($H$7=1,INDEX('FIRST TERM'!$S$6:$DM$70,MATCH($B$8,'FIRST TERM'!$B$6:$B$24,0),MATCH($A22&amp;$B$16,'FIRST TERM'!$S$1:$DM$1,0)),IF($H$7=2,INDEX('SECOND TERM'!$S$6:$DM$70,MATCH($B$8,'SECOND TERM'!$B$6:$B$24,0),MATCH($A22&amp;$B$16,'SECOND TERM'!$S$1:$DM$1,0)),IF($H$7=3,INDEX('SECOND TERM'!$S$6:$DM$70,MATCH($B$8,'SECOND TERM'!$B$6:$B$24,0),MATCH($A22&amp;$B$16,'SECOND TERM'!$S$1:$DM$1,0))))),"-")</f>
        <v>-</v>
      </c>
      <c r="C22" s="27" t="str">
        <f>IF((IF($H$7=1,INDEX('FIRST TERM'!$S$6:$DM$70,MATCH($B$8,'FIRST TERM'!$B$6:$B$24,0),MATCH($A22&amp;$C$16,'FIRST TERM'!$S$1:$DM$1,0)),IF($H$7=2,INDEX('SECOND TERM'!$S$6:$DM$70,MATCH($B$8,'SECOND TERM'!$B$6:$B$24,0),MATCH($A22&amp;$C$16,'SECOND TERM'!$S$1:$DM$1,0)),IF($H$7=3,INDEX('SECOND TERM'!$S$6:$DM$70,MATCH($B$8,'SECOND TERM'!$B$6:$B$24,0),MATCH($A22&amp;$C$16,'SECOND TERM'!$S$1:$DM$1,0))))))&gt;0,IF($H$7=1,INDEX('FIRST TERM'!$S$6:$DM$70,MATCH($B$8,'FIRST TERM'!$B$6:$B$24,0),MATCH($A22&amp;$C$16,'FIRST TERM'!$S$1:$DM$1,0)),IF($H$7=2,INDEX('SECOND TERM'!$S$6:$DM$70,MATCH($B$8,'SECOND TERM'!$B$6:$B$24,0),MATCH($A22&amp;$C$16,'SECOND TERM'!$S$1:$DM$1,0)),IF($H$7=3,INDEX('SECOND TERM'!$S$6:$DM$70,MATCH($B$8,'SECOND TERM'!$B$6:$B$24,0),MATCH($A22&amp;$C$16,'SECOND TERM'!$S$1:$DM$1,0))))),"-")</f>
        <v>-</v>
      </c>
      <c r="D22" s="17" t="str">
        <f t="shared" si="0"/>
        <v>-</v>
      </c>
      <c r="E22" s="17" t="str">
        <f t="shared" si="1"/>
        <v>-</v>
      </c>
      <c r="F22" s="18" t="str">
        <f t="shared" si="2"/>
        <v>-</v>
      </c>
    </row>
    <row r="23" spans="1:17">
      <c r="A23" s="16" t="str">
        <f>IF($H$7=1,'FIRST TERM'!$AM$2,IF($H$7=2,'SECOND TERM'!$AM$2,'THIRD TERM'!$AM$2))</f>
        <v>CIVIC EDUCATION</v>
      </c>
      <c r="B23" s="27">
        <f>IF((IF($H$7=1,INDEX('FIRST TERM'!$S$6:$DM$70,MATCH($B$8,'FIRST TERM'!$B$6:$B$24,0),MATCH($A23&amp;$B$16,'FIRST TERM'!$S$1:$DM$1,0)),IF($H$7=2,INDEX('SECOND TERM'!$S$6:$DM$70,MATCH($B$8,'SECOND TERM'!$B$6:$B$24,0),MATCH($A23&amp;$B$16,'SECOND TERM'!$S$1:$DM$1,0)),IF($H$7=3,INDEX('SECOND TERM'!$S$6:$DM$70,MATCH($B$8,'SECOND TERM'!$B$6:$B$24,0),MATCH($A23&amp;$B$16,'SECOND TERM'!$S$1:$DM$1,0))))))&gt;0,IF($H$7=1,INDEX('FIRST TERM'!$S$6:$DM$70,MATCH($B$8,'FIRST TERM'!$B$6:$B$24,0),MATCH($A23&amp;$B$16,'FIRST TERM'!$S$1:$DM$1,0)),IF($H$7=2,INDEX('SECOND TERM'!$S$6:$DM$70,MATCH($B$8,'SECOND TERM'!$B$6:$B$24,0),MATCH($A23&amp;$B$16,'SECOND TERM'!$S$1:$DM$1,0)),IF($H$7=3,INDEX('SECOND TERM'!$S$6:$DM$70,MATCH($B$8,'SECOND TERM'!$B$6:$B$24,0),MATCH($A23&amp;$B$16,'SECOND TERM'!$S$1:$DM$1,0))))),"-")</f>
        <v>30</v>
      </c>
      <c r="C23" s="27">
        <f>IF((IF($H$7=1,INDEX('FIRST TERM'!$S$6:$DM$70,MATCH($B$8,'FIRST TERM'!$B$6:$B$24,0),MATCH($A23&amp;$C$16,'FIRST TERM'!$S$1:$DM$1,0)),IF($H$7=2,INDEX('SECOND TERM'!$S$6:$DM$70,MATCH($B$8,'SECOND TERM'!$B$6:$B$24,0),MATCH($A23&amp;$C$16,'SECOND TERM'!$S$1:$DM$1,0)),IF($H$7=3,INDEX('SECOND TERM'!$S$6:$DM$70,MATCH($B$8,'SECOND TERM'!$B$6:$B$24,0),MATCH($A23&amp;$C$16,'SECOND TERM'!$S$1:$DM$1,0))))))&gt;0,IF($H$7=1,INDEX('FIRST TERM'!$S$6:$DM$70,MATCH($B$8,'FIRST TERM'!$B$6:$B$24,0),MATCH($A23&amp;$C$16,'FIRST TERM'!$S$1:$DM$1,0)),IF($H$7=2,INDEX('SECOND TERM'!$S$6:$DM$70,MATCH($B$8,'SECOND TERM'!$B$6:$B$24,0),MATCH($A23&amp;$C$16,'SECOND TERM'!$S$1:$DM$1,0)),IF($H$7=3,INDEX('SECOND TERM'!$S$6:$DM$70,MATCH($B$8,'SECOND TERM'!$B$6:$B$24,0),MATCH($A23&amp;$C$16,'SECOND TERM'!$S$1:$DM$1,0))))),"-")</f>
        <v>53</v>
      </c>
      <c r="D23" s="17">
        <f t="shared" si="0"/>
        <v>83</v>
      </c>
      <c r="E23" s="17" t="str">
        <f t="shared" si="1"/>
        <v>A1</v>
      </c>
      <c r="F23" s="18" t="str">
        <f t="shared" si="2"/>
        <v>Exceptional</v>
      </c>
    </row>
    <row r="24" spans="1:17">
      <c r="A24" s="16" t="str">
        <f>IF($H$7=1,'FIRST TERM'!$AQ$2,IF($H$7=2,'SECOND TERM'!$AQ$2,'THIRD TERM'!$AQ$2))</f>
        <v>AGRICULTURAL SCIENCE</v>
      </c>
      <c r="B24" s="27" t="str">
        <f>IF((IF($H$7=1,INDEX('FIRST TERM'!$S$6:$DM$70,MATCH($B$8,'FIRST TERM'!$B$6:$B$24,0),MATCH($A24&amp;$B$16,'FIRST TERM'!$S$1:$DM$1,0)),IF($H$7=2,INDEX('SECOND TERM'!$S$6:$DM$70,MATCH($B$8,'SECOND TERM'!$B$6:$B$24,0),MATCH($A24&amp;$B$16,'SECOND TERM'!$S$1:$DM$1,0)),IF($H$7=3,INDEX('SECOND TERM'!$S$6:$DM$70,MATCH($B$8,'SECOND TERM'!$B$6:$B$24,0),MATCH($A24&amp;$B$16,'SECOND TERM'!$S$1:$DM$1,0))))))&gt;0,IF($H$7=1,INDEX('FIRST TERM'!$S$6:$DM$70,MATCH($B$8,'FIRST TERM'!$B$6:$B$24,0),MATCH($A24&amp;$B$16,'FIRST TERM'!$S$1:$DM$1,0)),IF($H$7=2,INDEX('SECOND TERM'!$S$6:$DM$70,MATCH($B$8,'SECOND TERM'!$B$6:$B$24,0),MATCH($A24&amp;$B$16,'SECOND TERM'!$S$1:$DM$1,0)),IF($H$7=3,INDEX('SECOND TERM'!$S$6:$DM$70,MATCH($B$8,'SECOND TERM'!$B$6:$B$24,0),MATCH($A24&amp;$B$16,'SECOND TERM'!$S$1:$DM$1,0))))),"-")</f>
        <v>-</v>
      </c>
      <c r="C24" s="27" t="str">
        <f>IF((IF($H$7=1,INDEX('FIRST TERM'!$S$6:$DM$70,MATCH($B$8,'FIRST TERM'!$B$6:$B$24,0),MATCH($A24&amp;$C$16,'FIRST TERM'!$S$1:$DM$1,0)),IF($H$7=2,INDEX('SECOND TERM'!$S$6:$DM$70,MATCH($B$8,'SECOND TERM'!$B$6:$B$24,0),MATCH($A24&amp;$C$16,'SECOND TERM'!$S$1:$DM$1,0)),IF($H$7=3,INDEX('SECOND TERM'!$S$6:$DM$70,MATCH($B$8,'SECOND TERM'!$B$6:$B$24,0),MATCH($A24&amp;$C$16,'SECOND TERM'!$S$1:$DM$1,0))))))&gt;0,IF($H$7=1,INDEX('FIRST TERM'!$S$6:$DM$70,MATCH($B$8,'FIRST TERM'!$B$6:$B$24,0),MATCH($A24&amp;$C$16,'FIRST TERM'!$S$1:$DM$1,0)),IF($H$7=2,INDEX('SECOND TERM'!$S$6:$DM$70,MATCH($B$8,'SECOND TERM'!$B$6:$B$24,0),MATCH($A24&amp;$C$16,'SECOND TERM'!$S$1:$DM$1,0)),IF($H$7=3,INDEX('SECOND TERM'!$S$6:$DM$70,MATCH($B$8,'SECOND TERM'!$B$6:$B$24,0),MATCH($A24&amp;$C$16,'SECOND TERM'!$S$1:$DM$1,0))))),"-")</f>
        <v>-</v>
      </c>
      <c r="D24" s="17" t="str">
        <f t="shared" si="0"/>
        <v>-</v>
      </c>
      <c r="E24" s="17" t="str">
        <f t="shared" si="1"/>
        <v>-</v>
      </c>
      <c r="F24" s="18" t="str">
        <f t="shared" si="2"/>
        <v>-</v>
      </c>
    </row>
    <row r="25" spans="1:17">
      <c r="A25" s="16" t="str">
        <f>IF($H$7=1,'FIRST TERM'!$AU$2,IF($H$7=2,'SECOND TERM'!$AU$2,'THIRD TERM'!$AU$2))</f>
        <v>ICT/DATA PROCESSING</v>
      </c>
      <c r="B25" s="27">
        <f>IF((IF($H$7=1,INDEX('FIRST TERM'!$S$6:$DM$70,MATCH($B$8,'FIRST TERM'!$B$6:$B$24,0),MATCH($A25&amp;$B$16,'FIRST TERM'!$S$1:$DM$1,0)),IF($H$7=2,INDEX('SECOND TERM'!$S$6:$DM$70,MATCH($B$8,'SECOND TERM'!$B$6:$B$24,0),MATCH($A25&amp;$B$16,'SECOND TERM'!$S$1:$DM$1,0)),IF($H$7=3,INDEX('SECOND TERM'!$S$6:$DM$70,MATCH($B$8,'SECOND TERM'!$B$6:$B$24,0),MATCH($A25&amp;$B$16,'SECOND TERM'!$S$1:$DM$1,0))))))&gt;0,IF($H$7=1,INDEX('FIRST TERM'!$S$6:$DM$70,MATCH($B$8,'FIRST TERM'!$B$6:$B$24,0),MATCH($A25&amp;$B$16,'FIRST TERM'!$S$1:$DM$1,0)),IF($H$7=2,INDEX('SECOND TERM'!$S$6:$DM$70,MATCH($B$8,'SECOND TERM'!$B$6:$B$24,0),MATCH($A25&amp;$B$16,'SECOND TERM'!$S$1:$DM$1,0)),IF($H$7=3,INDEX('SECOND TERM'!$S$6:$DM$70,MATCH($B$8,'SECOND TERM'!$B$6:$B$24,0),MATCH($A25&amp;$B$16,'SECOND TERM'!$S$1:$DM$1,0))))),"-")</f>
        <v>40</v>
      </c>
      <c r="C25" s="27">
        <f>IF((IF($H$7=1,INDEX('FIRST TERM'!$S$6:$DM$70,MATCH($B$8,'FIRST TERM'!$B$6:$B$24,0),MATCH($A25&amp;$C$16,'FIRST TERM'!$S$1:$DM$1,0)),IF($H$7=2,INDEX('SECOND TERM'!$S$6:$DM$70,MATCH($B$8,'SECOND TERM'!$B$6:$B$24,0),MATCH($A25&amp;$C$16,'SECOND TERM'!$S$1:$DM$1,0)),IF($H$7=3,INDEX('SECOND TERM'!$S$6:$DM$70,MATCH($B$8,'SECOND TERM'!$B$6:$B$24,0),MATCH($A25&amp;$C$16,'SECOND TERM'!$S$1:$DM$1,0))))))&gt;0,IF($H$7=1,INDEX('FIRST TERM'!$S$6:$DM$70,MATCH($B$8,'FIRST TERM'!$B$6:$B$24,0),MATCH($A25&amp;$C$16,'FIRST TERM'!$S$1:$DM$1,0)),IF($H$7=2,INDEX('SECOND TERM'!$S$6:$DM$70,MATCH($B$8,'SECOND TERM'!$B$6:$B$24,0),MATCH($A25&amp;$C$16,'SECOND TERM'!$S$1:$DM$1,0)),IF($H$7=3,INDEX('SECOND TERM'!$S$6:$DM$70,MATCH($B$8,'SECOND TERM'!$B$6:$B$24,0),MATCH($A25&amp;$C$16,'SECOND TERM'!$S$1:$DM$1,0))))),"-")</f>
        <v>44</v>
      </c>
      <c r="D25" s="17">
        <f t="shared" si="0"/>
        <v>84</v>
      </c>
      <c r="E25" s="17" t="str">
        <f t="shared" si="1"/>
        <v>A1</v>
      </c>
      <c r="F25" s="18" t="str">
        <f t="shared" si="2"/>
        <v>Exceptional</v>
      </c>
    </row>
    <row r="26" spans="1:17">
      <c r="A26" s="16" t="str">
        <f>IF($H$7=1,'FIRST TERM'!$AY$2,IF($H$7=2,'SECOND TERM'!$AY$2,'THIRD TERM'!$AY$2))</f>
        <v>QURAN</v>
      </c>
      <c r="B26" s="27" t="str">
        <f>IF((IF($H$7=1,INDEX('FIRST TERM'!$S$6:$DM$70,MATCH($B$8,'FIRST TERM'!$B$6:$B$24,0),MATCH($A26&amp;$B$16,'FIRST TERM'!$S$1:$DM$1,0)),IF($H$7=2,INDEX('SECOND TERM'!$S$6:$DM$70,MATCH($B$8,'SECOND TERM'!$B$6:$B$24,0),MATCH($A26&amp;$B$16,'SECOND TERM'!$S$1:$DM$1,0)),IF($H$7=3,INDEX('SECOND TERM'!$S$6:$DM$70,MATCH($B$8,'SECOND TERM'!$B$6:$B$24,0),MATCH($A26&amp;$B$16,'SECOND TERM'!$S$1:$DM$1,0))))))&gt;0,IF($H$7=1,INDEX('FIRST TERM'!$S$6:$DM$70,MATCH($B$8,'FIRST TERM'!$B$6:$B$24,0),MATCH($A26&amp;$B$16,'FIRST TERM'!$S$1:$DM$1,0)),IF($H$7=2,INDEX('SECOND TERM'!$S$6:$DM$70,MATCH($B$8,'SECOND TERM'!$B$6:$B$24,0),MATCH($A26&amp;$B$16,'SECOND TERM'!$S$1:$DM$1,0)),IF($H$7=3,INDEX('SECOND TERM'!$S$6:$DM$70,MATCH($B$8,'SECOND TERM'!$B$6:$B$24,0),MATCH($A26&amp;$B$16,'SECOND TERM'!$S$1:$DM$1,0))))),"-")</f>
        <v>-</v>
      </c>
      <c r="C26" s="27" t="str">
        <f>IF((IF($H$7=1,INDEX('FIRST TERM'!$S$6:$DM$70,MATCH($B$8,'FIRST TERM'!$B$6:$B$24,0),MATCH($A26&amp;$C$16,'FIRST TERM'!$S$1:$DM$1,0)),IF($H$7=2,INDEX('SECOND TERM'!$S$6:$DM$70,MATCH($B$8,'SECOND TERM'!$B$6:$B$24,0),MATCH($A26&amp;$C$16,'SECOND TERM'!$S$1:$DM$1,0)),IF($H$7=3,INDEX('SECOND TERM'!$S$6:$DM$70,MATCH($B$8,'SECOND TERM'!$B$6:$B$24,0),MATCH($A26&amp;$C$16,'SECOND TERM'!$S$1:$DM$1,0))))))&gt;0,IF($H$7=1,INDEX('FIRST TERM'!$S$6:$DM$70,MATCH($B$8,'FIRST TERM'!$B$6:$B$24,0),MATCH($A26&amp;$C$16,'FIRST TERM'!$S$1:$DM$1,0)),IF($H$7=2,INDEX('SECOND TERM'!$S$6:$DM$70,MATCH($B$8,'SECOND TERM'!$B$6:$B$24,0),MATCH($A26&amp;$C$16,'SECOND TERM'!$S$1:$DM$1,0)),IF($H$7=3,INDEX('SECOND TERM'!$S$6:$DM$70,MATCH($B$8,'SECOND TERM'!$B$6:$B$24,0),MATCH($A26&amp;$C$16,'SECOND TERM'!$S$1:$DM$1,0))))),"-")</f>
        <v>-</v>
      </c>
      <c r="D26" s="17" t="str">
        <f t="shared" si="0"/>
        <v>-</v>
      </c>
      <c r="E26" s="17" t="str">
        <f t="shared" si="1"/>
        <v>-</v>
      </c>
      <c r="F26" s="18" t="str">
        <f t="shared" si="2"/>
        <v>-</v>
      </c>
    </row>
    <row r="27" spans="1:17">
      <c r="A27" s="16" t="str">
        <f>IF($H$7=1,'FIRST TERM'!$BC$2,IF($H$7=2,'SECOND TERM'!$BC$2,'THIRD TERM'!$BC$2))</f>
        <v>ARABIC</v>
      </c>
      <c r="B27" s="27" t="str">
        <f>IF((IF($H$7=1,INDEX('FIRST TERM'!$S$6:$DM$70,MATCH($B$8,'FIRST TERM'!$B$6:$B$24,0),MATCH($A27&amp;$B$16,'FIRST TERM'!$S$1:$DM$1,0)),IF($H$7=2,INDEX('SECOND TERM'!$S$6:$DM$70,MATCH($B$8,'SECOND TERM'!$B$6:$B$24,0),MATCH($A27&amp;$B$16,'SECOND TERM'!$S$1:$DM$1,0)),IF($H$7=3,INDEX('SECOND TERM'!$S$6:$DM$70,MATCH($B$8,'SECOND TERM'!$B$6:$B$24,0),MATCH($A27&amp;$B$16,'SECOND TERM'!$S$1:$DM$1,0))))))&gt;0,IF($H$7=1,INDEX('FIRST TERM'!$S$6:$DM$70,MATCH($B$8,'FIRST TERM'!$B$6:$B$24,0),MATCH($A27&amp;$B$16,'FIRST TERM'!$S$1:$DM$1,0)),IF($H$7=2,INDEX('SECOND TERM'!$S$6:$DM$70,MATCH($B$8,'SECOND TERM'!$B$6:$B$24,0),MATCH($A27&amp;$B$16,'SECOND TERM'!$S$1:$DM$1,0)),IF($H$7=3,INDEX('SECOND TERM'!$S$6:$DM$70,MATCH($B$8,'SECOND TERM'!$B$6:$B$24,0),MATCH($A27&amp;$B$16,'SECOND TERM'!$S$1:$DM$1,0))))),"-")</f>
        <v>-</v>
      </c>
      <c r="C27" s="27" t="str">
        <f>IF((IF($H$7=1,INDEX('FIRST TERM'!$S$6:$DM$70,MATCH($B$8,'FIRST TERM'!$B$6:$B$24,0),MATCH($A27&amp;$C$16,'FIRST TERM'!$S$1:$DM$1,0)),IF($H$7=2,INDEX('SECOND TERM'!$S$6:$DM$70,MATCH($B$8,'SECOND TERM'!$B$6:$B$24,0),MATCH($A27&amp;$C$16,'SECOND TERM'!$S$1:$DM$1,0)),IF($H$7=3,INDEX('SECOND TERM'!$S$6:$DM$70,MATCH($B$8,'SECOND TERM'!$B$6:$B$24,0),MATCH($A27&amp;$C$16,'SECOND TERM'!$S$1:$DM$1,0))))))&gt;0,IF($H$7=1,INDEX('FIRST TERM'!$S$6:$DM$70,MATCH($B$8,'FIRST TERM'!$B$6:$B$24,0),MATCH($A27&amp;$C$16,'FIRST TERM'!$S$1:$DM$1,0)),IF($H$7=2,INDEX('SECOND TERM'!$S$6:$DM$70,MATCH($B$8,'SECOND TERM'!$B$6:$B$24,0),MATCH($A27&amp;$C$16,'SECOND TERM'!$S$1:$DM$1,0)),IF($H$7=3,INDEX('SECOND TERM'!$S$6:$DM$70,MATCH($B$8,'SECOND TERM'!$B$6:$B$24,0),MATCH($A27&amp;$C$16,'SECOND TERM'!$S$1:$DM$1,0))))),"-")</f>
        <v>-</v>
      </c>
      <c r="D27" s="17" t="str">
        <f t="shared" si="0"/>
        <v>-</v>
      </c>
      <c r="E27" s="17" t="str">
        <f t="shared" si="1"/>
        <v>-</v>
      </c>
      <c r="F27" s="18" t="str">
        <f t="shared" si="2"/>
        <v>-</v>
      </c>
    </row>
    <row r="28" spans="1:17">
      <c r="A28" s="16" t="str">
        <f>IF($H$7=1,'FIRST TERM'!$BG$2,IF($H$7=2,'SECOND TERM'!$BG$2,'THIRD TERM'!$BG$2))</f>
        <v>ECONOMICS</v>
      </c>
      <c r="B28" s="27" t="str">
        <f>IF((IF($H$7=1,INDEX('FIRST TERM'!$S$6:$DM$70,MATCH($B$8,'FIRST TERM'!$B$6:$B$24,0),MATCH($A28&amp;$B$16,'FIRST TERM'!$S$1:$DM$1,0)),IF($H$7=2,INDEX('SECOND TERM'!$S$6:$DM$70,MATCH($B$8,'SECOND TERM'!$B$6:$B$24,0),MATCH($A28&amp;$B$16,'SECOND TERM'!$S$1:$DM$1,0)),IF($H$7=3,INDEX('SECOND TERM'!$S$6:$DM$70,MATCH($B$8,'SECOND TERM'!$B$6:$B$24,0),MATCH($A28&amp;$B$16,'SECOND TERM'!$S$1:$DM$1,0))))))&gt;0,IF($H$7=1,INDEX('FIRST TERM'!$S$6:$DM$70,MATCH($B$8,'FIRST TERM'!$B$6:$B$24,0),MATCH($A28&amp;$B$16,'FIRST TERM'!$S$1:$DM$1,0)),IF($H$7=2,INDEX('SECOND TERM'!$S$6:$DM$70,MATCH($B$8,'SECOND TERM'!$B$6:$B$24,0),MATCH($A28&amp;$B$16,'SECOND TERM'!$S$1:$DM$1,0)),IF($H$7=3,INDEX('SECOND TERM'!$S$6:$DM$70,MATCH($B$8,'SECOND TERM'!$B$6:$B$24,0),MATCH($A28&amp;$B$16,'SECOND TERM'!$S$1:$DM$1,0))))),"-")</f>
        <v>-</v>
      </c>
      <c r="C28" s="27" t="str">
        <f>IF((IF($H$7=1,INDEX('FIRST TERM'!$S$6:$DM$70,MATCH($B$8,'FIRST TERM'!$B$6:$B$24,0),MATCH($A28&amp;$C$16,'FIRST TERM'!$S$1:$DM$1,0)),IF($H$7=2,INDEX('SECOND TERM'!$S$6:$DM$70,MATCH($B$8,'SECOND TERM'!$B$6:$B$24,0),MATCH($A28&amp;$C$16,'SECOND TERM'!$S$1:$DM$1,0)),IF($H$7=3,INDEX('SECOND TERM'!$S$6:$DM$70,MATCH($B$8,'SECOND TERM'!$B$6:$B$24,0),MATCH($A28&amp;$C$16,'SECOND TERM'!$S$1:$DM$1,0))))))&gt;0,IF($H$7=1,INDEX('FIRST TERM'!$S$6:$DM$70,MATCH($B$8,'FIRST TERM'!$B$6:$B$24,0),MATCH($A28&amp;$C$16,'FIRST TERM'!$S$1:$DM$1,0)),IF($H$7=2,INDEX('SECOND TERM'!$S$6:$DM$70,MATCH($B$8,'SECOND TERM'!$B$6:$B$24,0),MATCH($A28&amp;$C$16,'SECOND TERM'!$S$1:$DM$1,0)),IF($H$7=3,INDEX('SECOND TERM'!$S$6:$DM$70,MATCH($B$8,'SECOND TERM'!$B$6:$B$24,0),MATCH($A28&amp;$C$16,'SECOND TERM'!$S$1:$DM$1,0))))),"-")</f>
        <v>-</v>
      </c>
      <c r="D28" s="17" t="str">
        <f t="shared" ref="D28:D34" si="3">IF(IFERROR(B28+C28,0)&gt;0,B28+C28,"-")</f>
        <v>-</v>
      </c>
      <c r="E28" s="17" t="str">
        <f t="shared" si="1"/>
        <v>-</v>
      </c>
      <c r="F28" s="18" t="str">
        <f t="shared" si="2"/>
        <v>-</v>
      </c>
    </row>
    <row r="29" spans="1:17">
      <c r="A29" s="16" t="str">
        <f>IF($H$7=1,'FIRST TERM'!$BK$2,IF($H$7=2,'SECOND TERM'!$BK$2,'THIRD TERM'!$BK$2))</f>
        <v>YORUBA LANGUAGE</v>
      </c>
      <c r="B29" s="27" t="str">
        <f>IF((IF($H$7=1,INDEX('FIRST TERM'!$S$6:$DM$70,MATCH($B$8,'FIRST TERM'!$B$6:$B$24,0),MATCH($A29&amp;$B$16,'FIRST TERM'!$S$1:$DM$1,0)),IF($H$7=2,INDEX('SECOND TERM'!$S$6:$DM$70,MATCH($B$8,'SECOND TERM'!$B$6:$B$24,0),MATCH($A29&amp;$B$16,'SECOND TERM'!$S$1:$DM$1,0)),IF($H$7=3,INDEX('SECOND TERM'!$S$6:$DM$70,MATCH($B$8,'SECOND TERM'!$B$6:$B$24,0),MATCH($A29&amp;$B$16,'SECOND TERM'!$S$1:$DM$1,0))))))&gt;0,IF($H$7=1,INDEX('FIRST TERM'!$S$6:$DM$70,MATCH($B$8,'FIRST TERM'!$B$6:$B$24,0),MATCH($A29&amp;$B$16,'FIRST TERM'!$S$1:$DM$1,0)),IF($H$7=2,INDEX('SECOND TERM'!$S$6:$DM$70,MATCH($B$8,'SECOND TERM'!$B$6:$B$24,0),MATCH($A29&amp;$B$16,'SECOND TERM'!$S$1:$DM$1,0)),IF($H$7=3,INDEX('SECOND TERM'!$S$6:$DM$70,MATCH($B$8,'SECOND TERM'!$B$6:$B$24,0),MATCH($A29&amp;$B$16,'SECOND TERM'!$S$1:$DM$1,0))))),"-")</f>
        <v>-</v>
      </c>
      <c r="C29" s="27" t="str">
        <f>IF((IF($H$7=1,INDEX('FIRST TERM'!$S$6:$DM$70,MATCH($B$8,'FIRST TERM'!$B$6:$B$24,0),MATCH($A29&amp;$C$16,'FIRST TERM'!$S$1:$DM$1,0)),IF($H$7=2,INDEX('SECOND TERM'!$S$6:$DM$70,MATCH($B$8,'SECOND TERM'!$B$6:$B$24,0),MATCH($A29&amp;$C$16,'SECOND TERM'!$S$1:$DM$1,0)),IF($H$7=3,INDEX('SECOND TERM'!$S$6:$DM$70,MATCH($B$8,'SECOND TERM'!$B$6:$B$24,0),MATCH($A29&amp;$C$16,'SECOND TERM'!$S$1:$DM$1,0))))))&gt;0,IF($H$7=1,INDEX('FIRST TERM'!$S$6:$DM$70,MATCH($B$8,'FIRST TERM'!$B$6:$B$24,0),MATCH($A29&amp;$C$16,'FIRST TERM'!$S$1:$DM$1,0)),IF($H$7=2,INDEX('SECOND TERM'!$S$6:$DM$70,MATCH($B$8,'SECOND TERM'!$B$6:$B$24,0),MATCH($A29&amp;$C$16,'SECOND TERM'!$S$1:$DM$1,0)),IF($H$7=3,INDEX('SECOND TERM'!$S$6:$DM$70,MATCH($B$8,'SECOND TERM'!$B$6:$B$24,0),MATCH($A29&amp;$C$16,'SECOND TERM'!$S$1:$DM$1,0))))),"-")</f>
        <v>-</v>
      </c>
      <c r="D29" s="17" t="str">
        <f t="shared" si="3"/>
        <v>-</v>
      </c>
      <c r="E29" s="17" t="str">
        <f t="shared" si="1"/>
        <v>-</v>
      </c>
      <c r="F29" s="18" t="str">
        <f t="shared" si="2"/>
        <v>-</v>
      </c>
    </row>
    <row r="30" spans="1:17">
      <c r="A30" s="16" t="str">
        <f>IF($H$7=1,'FIRST TERM'!$BO$2,IF($H$7=2,'SECOND TERM'!$BO$2,'THIRD TERM'!$BO$2))</f>
        <v>BIOLOGY</v>
      </c>
      <c r="B30" s="27">
        <f>IF((IF($H$7=1,INDEX('FIRST TERM'!$S$6:$DM$70,MATCH($B$8,'FIRST TERM'!$B$6:$B$24,0),MATCH($A30&amp;$B$16,'FIRST TERM'!$S$1:$DM$1,0)),IF($H$7=2,INDEX('SECOND TERM'!$S$6:$DM$70,MATCH($B$8,'SECOND TERM'!$B$6:$B$24,0),MATCH($A30&amp;$B$16,'SECOND TERM'!$S$1:$DM$1,0)),IF($H$7=3,INDEX('SECOND TERM'!$S$6:$DM$70,MATCH($B$8,'SECOND TERM'!$B$6:$B$24,0),MATCH($A30&amp;$B$16,'SECOND TERM'!$S$1:$DM$1,0))))))&gt;0,IF($H$7=1,INDEX('FIRST TERM'!$S$6:$DM$70,MATCH($B$8,'FIRST TERM'!$B$6:$B$24,0),MATCH($A30&amp;$B$16,'FIRST TERM'!$S$1:$DM$1,0)),IF($H$7=2,INDEX('SECOND TERM'!$S$6:$DM$70,MATCH($B$8,'SECOND TERM'!$B$6:$B$24,0),MATCH($A30&amp;$B$16,'SECOND TERM'!$S$1:$DM$1,0)),IF($H$7=3,INDEX('SECOND TERM'!$S$6:$DM$70,MATCH($B$8,'SECOND TERM'!$B$6:$B$24,0),MATCH($A30&amp;$B$16,'SECOND TERM'!$S$1:$DM$1,0))))),"-")</f>
        <v>26</v>
      </c>
      <c r="C30" s="27">
        <f>IF((IF($H$7=1,INDEX('FIRST TERM'!$S$6:$DM$70,MATCH($B$8,'FIRST TERM'!$B$6:$B$24,0),MATCH($A30&amp;$C$16,'FIRST TERM'!$S$1:$DM$1,0)),IF($H$7=2,INDEX('SECOND TERM'!$S$6:$DM$70,MATCH($B$8,'SECOND TERM'!$B$6:$B$24,0),MATCH($A30&amp;$C$16,'SECOND TERM'!$S$1:$DM$1,0)),IF($H$7=3,INDEX('SECOND TERM'!$S$6:$DM$70,MATCH($B$8,'SECOND TERM'!$B$6:$B$24,0),MATCH($A30&amp;$C$16,'SECOND TERM'!$S$1:$DM$1,0))))))&gt;0,IF($H$7=1,INDEX('FIRST TERM'!$S$6:$DM$70,MATCH($B$8,'FIRST TERM'!$B$6:$B$24,0),MATCH($A30&amp;$C$16,'FIRST TERM'!$S$1:$DM$1,0)),IF($H$7=2,INDEX('SECOND TERM'!$S$6:$DM$70,MATCH($B$8,'SECOND TERM'!$B$6:$B$24,0),MATCH($A30&amp;$C$16,'SECOND TERM'!$S$1:$DM$1,0)),IF($H$7=3,INDEX('SECOND TERM'!$S$6:$DM$70,MATCH($B$8,'SECOND TERM'!$B$6:$B$24,0),MATCH($A30&amp;$C$16,'SECOND TERM'!$S$1:$DM$1,0))))),"-")</f>
        <v>24</v>
      </c>
      <c r="D30" s="17">
        <f t="shared" si="3"/>
        <v>50</v>
      </c>
      <c r="E30" s="17" t="str">
        <f t="shared" si="1"/>
        <v>C6</v>
      </c>
      <c r="F30" s="18" t="str">
        <f t="shared" si="2"/>
        <v>Credit</v>
      </c>
    </row>
    <row r="31" spans="1:17">
      <c r="A31" s="16" t="str">
        <f>IF($H$7=1,'FIRST TERM'!$BS$2,IF($H$7=2,'SECOND TERM'!$BS$2,'THIRD TERM'!$BS$2))</f>
        <v>FURTHER MATHEMATICS</v>
      </c>
      <c r="B31" s="27" t="str">
        <f>IF((IF($H$7=1,INDEX('FIRST TERM'!$S$6:$DM$70,MATCH($B$8,'FIRST TERM'!$B$6:$B$24,0),MATCH($A31&amp;$B$16,'FIRST TERM'!$S$1:$DM$1,0)),IF($H$7=2,INDEX('SECOND TERM'!$S$6:$DM$70,MATCH($B$8,'SECOND TERM'!$B$6:$B$24,0),MATCH($A31&amp;$B$16,'SECOND TERM'!$S$1:$DM$1,0)),IF($H$7=3,INDEX('SECOND TERM'!$S$6:$DM$70,MATCH($B$8,'SECOND TERM'!$B$6:$B$24,0),MATCH($A31&amp;$B$16,'SECOND TERM'!$S$1:$DM$1,0))))))&gt;0,IF($H$7=1,INDEX('FIRST TERM'!$S$6:$DM$70,MATCH($B$8,'FIRST TERM'!$B$6:$B$24,0),MATCH($A31&amp;$B$16,'FIRST TERM'!$S$1:$DM$1,0)),IF($H$7=2,INDEX('SECOND TERM'!$S$6:$DM$70,MATCH($B$8,'SECOND TERM'!$B$6:$B$24,0),MATCH($A31&amp;$B$16,'SECOND TERM'!$S$1:$DM$1,0)),IF($H$7=3,INDEX('SECOND TERM'!$S$6:$DM$70,MATCH($B$8,'SECOND TERM'!$B$6:$B$24,0),MATCH($A31&amp;$B$16,'SECOND TERM'!$S$1:$DM$1,0))))),"-")</f>
        <v>-</v>
      </c>
      <c r="C31" s="27" t="str">
        <f>IF((IF($H$7=1,INDEX('FIRST TERM'!$S$6:$DM$70,MATCH($B$8,'FIRST TERM'!$B$6:$B$24,0),MATCH($A31&amp;$C$16,'FIRST TERM'!$S$1:$DM$1,0)),IF($H$7=2,INDEX('SECOND TERM'!$S$6:$DM$70,MATCH($B$8,'SECOND TERM'!$B$6:$B$24,0),MATCH($A31&amp;$C$16,'SECOND TERM'!$S$1:$DM$1,0)),IF($H$7=3,INDEX('SECOND TERM'!$S$6:$DM$70,MATCH($B$8,'SECOND TERM'!$B$6:$B$24,0),MATCH($A31&amp;$C$16,'SECOND TERM'!$S$1:$DM$1,0))))))&gt;0,IF($H$7=1,INDEX('FIRST TERM'!$S$6:$DM$70,MATCH($B$8,'FIRST TERM'!$B$6:$B$24,0),MATCH($A31&amp;$C$16,'FIRST TERM'!$S$1:$DM$1,0)),IF($H$7=2,INDEX('SECOND TERM'!$S$6:$DM$70,MATCH($B$8,'SECOND TERM'!$B$6:$B$24,0),MATCH($A31&amp;$C$16,'SECOND TERM'!$S$1:$DM$1,0)),IF($H$7=3,INDEX('SECOND TERM'!$S$6:$DM$70,MATCH($B$8,'SECOND TERM'!$B$6:$B$24,0),MATCH($A31&amp;$C$16,'SECOND TERM'!$S$1:$DM$1,0))))),"-")</f>
        <v>-</v>
      </c>
      <c r="D31" s="17" t="str">
        <f t="shared" si="3"/>
        <v>-</v>
      </c>
      <c r="E31" s="17" t="str">
        <f t="shared" si="1"/>
        <v>-</v>
      </c>
      <c r="F31" s="18" t="str">
        <f t="shared" si="2"/>
        <v>-</v>
      </c>
    </row>
    <row r="32" spans="1:17">
      <c r="A32" s="16" t="str">
        <f>IF($H$7=1,'FIRST TERM'!$BW$2,IF($H$7=2,'SECOND TERM'!$BW$2,'THIRD TERM'!$BW$2))</f>
        <v>GEOGRAPHY</v>
      </c>
      <c r="B32" s="27" t="str">
        <f>IF((IF($H$7=1,INDEX('FIRST TERM'!$S$6:$DM$70,MATCH($B$8,'FIRST TERM'!$B$6:$B$24,0),MATCH($A32&amp;$B$16,'FIRST TERM'!$S$1:$DM$1,0)),IF($H$7=2,INDEX('SECOND TERM'!$S$6:$DM$70,MATCH($B$8,'SECOND TERM'!$B$6:$B$24,0),MATCH($A32&amp;$B$16,'SECOND TERM'!$S$1:$DM$1,0)),IF($H$7=3,INDEX('SECOND TERM'!$S$6:$DM$70,MATCH($B$8,'SECOND TERM'!$B$6:$B$24,0),MATCH($A32&amp;$B$16,'SECOND TERM'!$S$1:$DM$1,0))))))&gt;0,IF($H$7=1,INDEX('FIRST TERM'!$S$6:$DM$70,MATCH($B$8,'FIRST TERM'!$B$6:$B$24,0),MATCH($A32&amp;$B$16,'FIRST TERM'!$S$1:$DM$1,0)),IF($H$7=2,INDEX('SECOND TERM'!$S$6:$DM$70,MATCH($B$8,'SECOND TERM'!$B$6:$B$24,0),MATCH($A32&amp;$B$16,'SECOND TERM'!$S$1:$DM$1,0)),IF($H$7=3,INDEX('SECOND TERM'!$S$6:$DM$70,MATCH($B$8,'SECOND TERM'!$B$6:$B$24,0),MATCH($A32&amp;$B$16,'SECOND TERM'!$S$1:$DM$1,0))))),"-")</f>
        <v>-</v>
      </c>
      <c r="C32" s="27">
        <f>IF((IF($H$7=1,INDEX('FIRST TERM'!$S$6:$DM$70,MATCH($B$8,'FIRST TERM'!$B$6:$B$24,0),MATCH($A32&amp;$C$16,'FIRST TERM'!$S$1:$DM$1,0)),IF($H$7=2,INDEX('SECOND TERM'!$S$6:$DM$70,MATCH($B$8,'SECOND TERM'!$B$6:$B$24,0),MATCH($A32&amp;$C$16,'SECOND TERM'!$S$1:$DM$1,0)),IF($H$7=3,INDEX('SECOND TERM'!$S$6:$DM$70,MATCH($B$8,'SECOND TERM'!$B$6:$B$24,0),MATCH($A32&amp;$C$16,'SECOND TERM'!$S$1:$DM$1,0))))))&gt;0,IF($H$7=1,INDEX('FIRST TERM'!$S$6:$DM$70,MATCH($B$8,'FIRST TERM'!$B$6:$B$24,0),MATCH($A32&amp;$C$16,'FIRST TERM'!$S$1:$DM$1,0)),IF($H$7=2,INDEX('SECOND TERM'!$S$6:$DM$70,MATCH($B$8,'SECOND TERM'!$B$6:$B$24,0),MATCH($A32&amp;$C$16,'SECOND TERM'!$S$1:$DM$1,0)),IF($H$7=3,INDEX('SECOND TERM'!$S$6:$DM$70,MATCH($B$8,'SECOND TERM'!$B$6:$B$24,0),MATCH($A32&amp;$C$16,'SECOND TERM'!$S$1:$DM$1,0))))),"-")</f>
        <v>40</v>
      </c>
      <c r="D32" s="17" t="str">
        <f t="shared" si="3"/>
        <v>-</v>
      </c>
      <c r="E32" s="17" t="str">
        <f t="shared" si="1"/>
        <v>-</v>
      </c>
      <c r="F32" s="18" t="str">
        <f t="shared" si="2"/>
        <v>-</v>
      </c>
    </row>
    <row r="33" spans="1:6">
      <c r="A33" s="16" t="str">
        <f>IF($H$7=1,'FIRST TERM'!$CA$2,IF($H$7=2,'SECOND TERM'!$CA$2,'THIRD TERM'!$CA$2))</f>
        <v>-</v>
      </c>
      <c r="B33" s="27" t="str">
        <f>IF((IF($H$7=1,INDEX('FIRST TERM'!$S$6:$DM$70,MATCH($B$8,'FIRST TERM'!$B$6:$B$24,0),MATCH($A33&amp;$B$16,'FIRST TERM'!$S$1:$DM$1,0)),IF($H$7=2,INDEX('SECOND TERM'!$S$6:$DM$70,MATCH($B$8,'SECOND TERM'!$B$6:$B$24,0),MATCH($A33&amp;$B$16,'SECOND TERM'!$S$1:$DM$1,0)),IF($H$7=3,INDEX('SECOND TERM'!$S$6:$DM$70,MATCH($B$8,'SECOND TERM'!$B$6:$B$24,0),MATCH($A33&amp;$B$16,'SECOND TERM'!$S$1:$DM$1,0))))))&gt;0,IF($H$7=1,INDEX('FIRST TERM'!$S$6:$DM$70,MATCH($B$8,'FIRST TERM'!$B$6:$B$24,0),MATCH($A33&amp;$B$16,'FIRST TERM'!$S$1:$DM$1,0)),IF($H$7=2,INDEX('SECOND TERM'!$S$6:$DM$70,MATCH($B$8,'SECOND TERM'!$B$6:$B$24,0),MATCH($A33&amp;$B$16,'SECOND TERM'!$S$1:$DM$1,0)),IF($H$7=3,INDEX('SECOND TERM'!$S$6:$DM$70,MATCH($B$8,'SECOND TERM'!$B$6:$B$24,0),MATCH($A33&amp;$B$16,'SECOND TERM'!$S$1:$DM$1,0))))),"-")</f>
        <v>-</v>
      </c>
      <c r="C33" s="27" t="str">
        <f>IF((IF($H$7=1,INDEX('FIRST TERM'!$S$6:$DM$70,MATCH($B$8,'FIRST TERM'!$B$6:$B$24,0),MATCH($A33&amp;$C$16,'FIRST TERM'!$S$1:$DM$1,0)),IF($H$7=2,INDEX('SECOND TERM'!$S$6:$DM$70,MATCH($B$8,'SECOND TERM'!$B$6:$B$24,0),MATCH($A33&amp;$C$16,'SECOND TERM'!$S$1:$DM$1,0)),IF($H$7=3,INDEX('SECOND TERM'!$S$6:$DM$70,MATCH($B$8,'SECOND TERM'!$B$6:$B$24,0),MATCH($A33&amp;$C$16,'SECOND TERM'!$S$1:$DM$1,0))))))&gt;0,IF($H$7=1,INDEX('FIRST TERM'!$S$6:$DM$70,MATCH($B$8,'FIRST TERM'!$B$6:$B$24,0),MATCH($A33&amp;$C$16,'FIRST TERM'!$S$1:$DM$1,0)),IF($H$7=2,INDEX('SECOND TERM'!$S$6:$DM$70,MATCH($B$8,'SECOND TERM'!$B$6:$B$24,0),MATCH($A33&amp;$C$16,'SECOND TERM'!$S$1:$DM$1,0)),IF($H$7=3,INDEX('SECOND TERM'!$S$6:$DM$70,MATCH($B$8,'SECOND TERM'!$B$6:$B$24,0),MATCH($A33&amp;$C$16,'SECOND TERM'!$S$1:$DM$1,0))))),"-")</f>
        <v>-</v>
      </c>
      <c r="D33" s="17" t="str">
        <f t="shared" si="3"/>
        <v>-</v>
      </c>
      <c r="E33" s="17" t="str">
        <f t="shared" si="1"/>
        <v>-</v>
      </c>
      <c r="F33" s="18" t="str">
        <f t="shared" si="2"/>
        <v>-</v>
      </c>
    </row>
    <row r="34" spans="1:6">
      <c r="A34" s="16" t="str">
        <f>IF($H$7=1,'FIRST TERM'!$CE$2,IF($H$7=2,'SECOND TERM'!$CE$2,'THIRD TERM'!$CE$2))</f>
        <v>-</v>
      </c>
      <c r="B34" s="27" t="str">
        <f>IF((IF($H$7=1,INDEX('FIRST TERM'!$S$6:$DM$70,MATCH($B$8,'FIRST TERM'!$B$6:$B$24,0),MATCH($A34&amp;$B$16,'FIRST TERM'!$S$1:$DM$1,0)),IF($H$7=2,INDEX('SECOND TERM'!$S$6:$DM$70,MATCH($B$8,'SECOND TERM'!$B$6:$B$24,0),MATCH($A34&amp;$B$16,'SECOND TERM'!$S$1:$DM$1,0)),IF($H$7=3,INDEX('SECOND TERM'!$S$6:$DM$70,MATCH($B$8,'SECOND TERM'!$B$6:$B$24,0),MATCH($A34&amp;$B$16,'SECOND TERM'!$S$1:$DM$1,0))))))&gt;0,IF($H$7=1,INDEX('FIRST TERM'!$S$6:$DM$70,MATCH($B$8,'FIRST TERM'!$B$6:$B$24,0),MATCH($A34&amp;$B$16,'FIRST TERM'!$S$1:$DM$1,0)),IF($H$7=2,INDEX('SECOND TERM'!$S$6:$DM$70,MATCH($B$8,'SECOND TERM'!$B$6:$B$24,0),MATCH($A34&amp;$B$16,'SECOND TERM'!$S$1:$DM$1,0)),IF($H$7=3,INDEX('SECOND TERM'!$S$6:$DM$70,MATCH($B$8,'SECOND TERM'!$B$6:$B$24,0),MATCH($A34&amp;$B$16,'SECOND TERM'!$S$1:$DM$1,0))))),"-")</f>
        <v>-</v>
      </c>
      <c r="C34" s="27" t="str">
        <f>IF((IF($H$7=1,INDEX('FIRST TERM'!$S$6:$DM$70,MATCH($B$8,'FIRST TERM'!$B$6:$B$24,0),MATCH($A34&amp;$C$16,'FIRST TERM'!$S$1:$DM$1,0)),IF($H$7=2,INDEX('SECOND TERM'!$S$6:$DM$70,MATCH($B$8,'SECOND TERM'!$B$6:$B$24,0),MATCH($A34&amp;$C$16,'SECOND TERM'!$S$1:$DM$1,0)),IF($H$7=3,INDEX('SECOND TERM'!$S$6:$DM$70,MATCH($B$8,'SECOND TERM'!$B$6:$B$24,0),MATCH($A34&amp;$C$16,'SECOND TERM'!$S$1:$DM$1,0))))))&gt;0,IF($H$7=1,INDEX('FIRST TERM'!$S$6:$DM$70,MATCH($B$8,'FIRST TERM'!$B$6:$B$24,0),MATCH($A34&amp;$C$16,'FIRST TERM'!$S$1:$DM$1,0)),IF($H$7=2,INDEX('SECOND TERM'!$S$6:$DM$70,MATCH($B$8,'SECOND TERM'!$B$6:$B$24,0),MATCH($A34&amp;$C$16,'SECOND TERM'!$S$1:$DM$1,0)),IF($H$7=3,INDEX('SECOND TERM'!$S$6:$DM$70,MATCH($B$8,'SECOND TERM'!$B$6:$B$24,0),MATCH($A34&amp;$C$16,'SECOND TERM'!$S$1:$DM$1,0))))),"-")</f>
        <v>-</v>
      </c>
      <c r="D34" s="17" t="str">
        <f t="shared" si="3"/>
        <v>-</v>
      </c>
      <c r="E34" s="17" t="str">
        <f t="shared" si="1"/>
        <v>-</v>
      </c>
      <c r="F34" s="18" t="str">
        <f t="shared" si="2"/>
        <v>-</v>
      </c>
    </row>
    <row r="35" spans="1:6">
      <c r="A35" s="16" t="str">
        <f>IF($H$7=1,'FIRST TERM'!$CI$2,IF($H$7=2,'SECOND TERM'!$CI$2,'THIRD TERM'!$CI$2))</f>
        <v>-</v>
      </c>
      <c r="B35" s="27" t="str">
        <f>IF((IF($H$7=1,INDEX('FIRST TERM'!$S$6:$DM$70,MATCH($B$8,'FIRST TERM'!$B$6:$B$24,0),MATCH($A35&amp;$B$16,'FIRST TERM'!$S$1:$DM$1,0)),IF($H$7=2,INDEX('SECOND TERM'!$S$6:$DM$70,MATCH($B$8,'SECOND TERM'!$B$6:$B$24,0),MATCH($A35&amp;$B$16,'SECOND TERM'!$S$1:$DM$1,0)),IF($H$7=3,INDEX('SECOND TERM'!$S$6:$DM$70,MATCH($B$8,'SECOND TERM'!$B$6:$B$24,0),MATCH($A35&amp;$B$16,'SECOND TERM'!$S$1:$DM$1,0))))))&gt;0,IF($H$7=1,INDEX('FIRST TERM'!$S$6:$DM$70,MATCH($B$8,'FIRST TERM'!$B$6:$B$24,0),MATCH($A35&amp;$B$16,'FIRST TERM'!$S$1:$DM$1,0)),IF($H$7=2,INDEX('SECOND TERM'!$S$6:$DM$70,MATCH($B$8,'SECOND TERM'!$B$6:$B$24,0),MATCH($A35&amp;$B$16,'SECOND TERM'!$S$1:$DM$1,0)),IF($H$7=3,INDEX('SECOND TERM'!$S$6:$DM$70,MATCH($B$8,'SECOND TERM'!$B$6:$B$24,0),MATCH($A35&amp;$B$16,'SECOND TERM'!$S$1:$DM$1,0))))),"-")</f>
        <v>-</v>
      </c>
      <c r="C35" s="27" t="str">
        <f>IF((IF($H$7=1,INDEX('FIRST TERM'!$S$6:$DM$70,MATCH($B$8,'FIRST TERM'!$B$6:$B$24,0),MATCH($A35&amp;$C$16,'FIRST TERM'!$S$1:$DM$1,0)),IF($H$7=2,INDEX('SECOND TERM'!$S$6:$DM$70,MATCH($B$8,'SECOND TERM'!$B$6:$B$24,0),MATCH($A35&amp;$C$16,'SECOND TERM'!$S$1:$DM$1,0)),IF($H$7=3,INDEX('SECOND TERM'!$S$6:$DM$70,MATCH($B$8,'SECOND TERM'!$B$6:$B$24,0),MATCH($A35&amp;$C$16,'SECOND TERM'!$S$1:$DM$1,0))))))&gt;0,IF($H$7=1,INDEX('FIRST TERM'!$S$6:$DM$70,MATCH($B$8,'FIRST TERM'!$B$6:$B$24,0),MATCH($A35&amp;$C$16,'FIRST TERM'!$S$1:$DM$1,0)),IF($H$7=2,INDEX('SECOND TERM'!$S$6:$DM$70,MATCH($B$8,'SECOND TERM'!$B$6:$B$24,0),MATCH($A35&amp;$C$16,'SECOND TERM'!$S$1:$DM$1,0)),IF($H$7=3,INDEX('SECOND TERM'!$S$6:$DM$70,MATCH($B$8,'SECOND TERM'!$B$6:$B$24,0),MATCH($A35&amp;$C$16,'SECOND TERM'!$S$1:$DM$1,0))))),"-")</f>
        <v>-</v>
      </c>
      <c r="D35" s="17" t="str">
        <f t="shared" si="0"/>
        <v>-</v>
      </c>
      <c r="E35" s="17" t="str">
        <f t="shared" si="1"/>
        <v>-</v>
      </c>
      <c r="F35" s="18" t="str">
        <f t="shared" si="2"/>
        <v>-</v>
      </c>
    </row>
    <row r="36" spans="1:6">
      <c r="A36" s="16" t="str">
        <f>IF($H$7=1,'FIRST TERM'!$CM$2,IF($H$7=2,'SECOND TERM'!$CM$2,'THIRD TERM'!$CM$2))</f>
        <v>YORUBA LANGUAGE</v>
      </c>
      <c r="B36" s="27" t="str">
        <f>IF((IF($H$7=1,INDEX('FIRST TERM'!$S$6:$DM$70,MATCH($B$8,'FIRST TERM'!$B$6:$B$24,0),MATCH($A36&amp;$B$16,'FIRST TERM'!$S$1:$DM$1,0)),IF($H$7=2,INDEX('SECOND TERM'!$S$6:$DM$70,MATCH($B$8,'SECOND TERM'!$B$6:$B$24,0),MATCH($A36&amp;$B$16,'SECOND TERM'!$S$1:$DM$1,0)),IF($H$7=3,INDEX('SECOND TERM'!$S$6:$DM$70,MATCH($B$8,'SECOND TERM'!$B$6:$B$24,0),MATCH($A36&amp;$B$16,'SECOND TERM'!$S$1:$DM$1,0))))))&gt;0,IF($H$7=1,INDEX('FIRST TERM'!$S$6:$DM$70,MATCH($B$8,'FIRST TERM'!$B$6:$B$24,0),MATCH($A36&amp;$B$16,'FIRST TERM'!$S$1:$DM$1,0)),IF($H$7=2,INDEX('SECOND TERM'!$S$6:$DM$70,MATCH($B$8,'SECOND TERM'!$B$6:$B$24,0),MATCH($A36&amp;$B$16,'SECOND TERM'!$S$1:$DM$1,0)),IF($H$7=3,INDEX('SECOND TERM'!$S$6:$DM$70,MATCH($B$8,'SECOND TERM'!$B$6:$B$24,0),MATCH($A36&amp;$B$16,'SECOND TERM'!$S$1:$DM$1,0))))),"-")</f>
        <v>-</v>
      </c>
      <c r="C36" s="27" t="str">
        <f>IF((IF($H$7=1,INDEX('FIRST TERM'!$S$6:$DM$70,MATCH($B$8,'FIRST TERM'!$B$6:$B$24,0),MATCH($A36&amp;$C$16,'FIRST TERM'!$S$1:$DM$1,0)),IF($H$7=2,INDEX('SECOND TERM'!$S$6:$DM$70,MATCH($B$8,'SECOND TERM'!$B$6:$B$24,0),MATCH($A36&amp;$C$16,'SECOND TERM'!$S$1:$DM$1,0)),IF($H$7=3,INDEX('SECOND TERM'!$S$6:$DM$70,MATCH($B$8,'SECOND TERM'!$B$6:$B$24,0),MATCH($A36&amp;$C$16,'SECOND TERM'!$S$1:$DM$1,0))))))&gt;0,IF($H$7=1,INDEX('FIRST TERM'!$S$6:$DM$70,MATCH($B$8,'FIRST TERM'!$B$6:$B$24,0),MATCH($A36&amp;$C$16,'FIRST TERM'!$S$1:$DM$1,0)),IF($H$7=2,INDEX('SECOND TERM'!$S$6:$DM$70,MATCH($B$8,'SECOND TERM'!$B$6:$B$24,0),MATCH($A36&amp;$C$16,'SECOND TERM'!$S$1:$DM$1,0)),IF($H$7=3,INDEX('SECOND TERM'!$S$6:$DM$70,MATCH($B$8,'SECOND TERM'!$B$6:$B$24,0),MATCH($A36&amp;$C$16,'SECOND TERM'!$S$1:$DM$1,0))))),"-")</f>
        <v>-</v>
      </c>
      <c r="D36" s="17" t="str">
        <f t="shared" si="0"/>
        <v>-</v>
      </c>
      <c r="E36" s="17" t="str">
        <f t="shared" si="1"/>
        <v>-</v>
      </c>
      <c r="F36" s="18" t="str">
        <f t="shared" si="2"/>
        <v>-</v>
      </c>
    </row>
    <row r="37" spans="1:6">
      <c r="A37" s="16" t="str">
        <f>IF($H$7=1,'FIRST TERM'!$CQ$2,IF($H$7=2,'SECOND TERM'!$CQ$2,'THIRD TERM'!$CQ$2))</f>
        <v>BIOLOGY</v>
      </c>
      <c r="B37" s="27">
        <f>IF((IF($H$7=1,INDEX('FIRST TERM'!$S$6:$DM$70,MATCH($B$8,'FIRST TERM'!$B$6:$B$24,0),MATCH($A37&amp;$B$16,'FIRST TERM'!$S$1:$DM$1,0)),IF($H$7=2,INDEX('SECOND TERM'!$S$6:$DM$70,MATCH($B$8,'SECOND TERM'!$B$6:$B$24,0),MATCH($A37&amp;$B$16,'SECOND TERM'!$S$1:$DM$1,0)),IF($H$7=3,INDEX('SECOND TERM'!$S$6:$DM$70,MATCH($B$8,'SECOND TERM'!$B$6:$B$24,0),MATCH($A37&amp;$B$16,'SECOND TERM'!$S$1:$DM$1,0))))))&gt;0,IF($H$7=1,INDEX('FIRST TERM'!$S$6:$DM$70,MATCH($B$8,'FIRST TERM'!$B$6:$B$24,0),MATCH($A37&amp;$B$16,'FIRST TERM'!$S$1:$DM$1,0)),IF($H$7=2,INDEX('SECOND TERM'!$S$6:$DM$70,MATCH($B$8,'SECOND TERM'!$B$6:$B$24,0),MATCH($A37&amp;$B$16,'SECOND TERM'!$S$1:$DM$1,0)),IF($H$7=3,INDEX('SECOND TERM'!$S$6:$DM$70,MATCH($B$8,'SECOND TERM'!$B$6:$B$24,0),MATCH($A37&amp;$B$16,'SECOND TERM'!$S$1:$DM$1,0))))),"-")</f>
        <v>26</v>
      </c>
      <c r="C37" s="27">
        <f>IF((IF($H$7=1,INDEX('FIRST TERM'!$S$6:$DM$70,MATCH($B$8,'FIRST TERM'!$B$6:$B$24,0),MATCH($A37&amp;$C$16,'FIRST TERM'!$S$1:$DM$1,0)),IF($H$7=2,INDEX('SECOND TERM'!$S$6:$DM$70,MATCH($B$8,'SECOND TERM'!$B$6:$B$24,0),MATCH($A37&amp;$C$16,'SECOND TERM'!$S$1:$DM$1,0)),IF($H$7=3,INDEX('SECOND TERM'!$S$6:$DM$70,MATCH($B$8,'SECOND TERM'!$B$6:$B$24,0),MATCH($A37&amp;$C$16,'SECOND TERM'!$S$1:$DM$1,0))))))&gt;0,IF($H$7=1,INDEX('FIRST TERM'!$S$6:$DM$70,MATCH($B$8,'FIRST TERM'!$B$6:$B$24,0),MATCH($A37&amp;$C$16,'FIRST TERM'!$S$1:$DM$1,0)),IF($H$7=2,INDEX('SECOND TERM'!$S$6:$DM$70,MATCH($B$8,'SECOND TERM'!$B$6:$B$24,0),MATCH($A37&amp;$C$16,'SECOND TERM'!$S$1:$DM$1,0)),IF($H$7=3,INDEX('SECOND TERM'!$S$6:$DM$70,MATCH($B$8,'SECOND TERM'!$B$6:$B$24,0),MATCH($A37&amp;$C$16,'SECOND TERM'!$S$1:$DM$1,0))))),"-")</f>
        <v>24</v>
      </c>
      <c r="D37" s="17">
        <f t="shared" si="0"/>
        <v>50</v>
      </c>
      <c r="E37" s="17" t="str">
        <f t="shared" si="1"/>
        <v>C6</v>
      </c>
      <c r="F37" s="18" t="str">
        <f t="shared" si="2"/>
        <v>Credit</v>
      </c>
    </row>
    <row r="38" spans="1:6">
      <c r="A38" s="16" t="str">
        <f>IF($H$7=1,'FIRST TERM'!$CU$2,IF($H$7=2,'SECOND TERM'!$CU$2,'THIRD TERM'!$CU$2))</f>
        <v>FURTHER MATHEMATICS</v>
      </c>
      <c r="B38" s="27" t="str">
        <f>IF((IF($H$7=1,INDEX('FIRST TERM'!$S$6:$DM$70,MATCH($B$8,'FIRST TERM'!$B$6:$B$24,0),MATCH($A38&amp;$B$16,'FIRST TERM'!$S$1:$DM$1,0)),IF($H$7=2,INDEX('SECOND TERM'!$S$6:$DM$70,MATCH($B$8,'SECOND TERM'!$B$6:$B$24,0),MATCH($A38&amp;$B$16,'SECOND TERM'!$S$1:$DM$1,0)),IF($H$7=3,INDEX('SECOND TERM'!$S$6:$DM$70,MATCH($B$8,'SECOND TERM'!$B$6:$B$24,0),MATCH($A38&amp;$B$16,'SECOND TERM'!$S$1:$DM$1,0))))))&gt;0,IF($H$7=1,INDEX('FIRST TERM'!$S$6:$DM$70,MATCH($B$8,'FIRST TERM'!$B$6:$B$24,0),MATCH($A38&amp;$B$16,'FIRST TERM'!$S$1:$DM$1,0)),IF($H$7=2,INDEX('SECOND TERM'!$S$6:$DM$70,MATCH($B$8,'SECOND TERM'!$B$6:$B$24,0),MATCH($A38&amp;$B$16,'SECOND TERM'!$S$1:$DM$1,0)),IF($H$7=3,INDEX('SECOND TERM'!$S$6:$DM$70,MATCH($B$8,'SECOND TERM'!$B$6:$B$24,0),MATCH($A38&amp;$B$16,'SECOND TERM'!$S$1:$DM$1,0))))),"-")</f>
        <v>-</v>
      </c>
      <c r="C38" s="27" t="str">
        <f>IF((IF($H$7=1,INDEX('FIRST TERM'!$S$6:$DM$70,MATCH($B$8,'FIRST TERM'!$B$6:$B$24,0),MATCH($A38&amp;$C$16,'FIRST TERM'!$S$1:$DM$1,0)),IF($H$7=2,INDEX('SECOND TERM'!$S$6:$DM$70,MATCH($B$8,'SECOND TERM'!$B$6:$B$24,0),MATCH($A38&amp;$C$16,'SECOND TERM'!$S$1:$DM$1,0)),IF($H$7=3,INDEX('SECOND TERM'!$S$6:$DM$70,MATCH($B$8,'SECOND TERM'!$B$6:$B$24,0),MATCH($A38&amp;$C$16,'SECOND TERM'!$S$1:$DM$1,0))))))&gt;0,IF($H$7=1,INDEX('FIRST TERM'!$S$6:$DM$70,MATCH($B$8,'FIRST TERM'!$B$6:$B$24,0),MATCH($A38&amp;$C$16,'FIRST TERM'!$S$1:$DM$1,0)),IF($H$7=2,INDEX('SECOND TERM'!$S$6:$DM$70,MATCH($B$8,'SECOND TERM'!$B$6:$B$24,0),MATCH($A38&amp;$C$16,'SECOND TERM'!$S$1:$DM$1,0)),IF($H$7=3,INDEX('SECOND TERM'!$S$6:$DM$70,MATCH($B$8,'SECOND TERM'!$B$6:$B$24,0),MATCH($A38&amp;$C$16,'SECOND TERM'!$S$1:$DM$1,0))))),"-")</f>
        <v>-</v>
      </c>
      <c r="D38" s="17" t="str">
        <f t="shared" si="0"/>
        <v>-</v>
      </c>
      <c r="E38" s="17" t="str">
        <f t="shared" si="1"/>
        <v>-</v>
      </c>
      <c r="F38" s="18" t="str">
        <f t="shared" si="2"/>
        <v>-</v>
      </c>
    </row>
    <row r="39" spans="1:6">
      <c r="A39" s="16" t="str">
        <f>IF($H$7=1,'FIRST TERM'!$CY$2,IF($H$7=2,'SECOND TERM'!$CY$2,'THIRD TERM'!$CY$2))</f>
        <v>GEOGRAPHY</v>
      </c>
      <c r="B39" s="27" t="str">
        <f>IF((IF($H$7=1,INDEX('FIRST TERM'!$S$6:$DM$70,MATCH($B$8,'FIRST TERM'!$B$6:$B$24,0),MATCH($A39&amp;$B$16,'FIRST TERM'!$S$1:$DM$1,0)),IF($H$7=2,INDEX('SECOND TERM'!$S$6:$DM$70,MATCH($B$8,'SECOND TERM'!$B$6:$B$24,0),MATCH($A39&amp;$B$16,'SECOND TERM'!$S$1:$DM$1,0)),IF($H$7=3,INDEX('SECOND TERM'!$S$6:$DM$70,MATCH($B$8,'SECOND TERM'!$B$6:$B$24,0),MATCH($A39&amp;$B$16,'SECOND TERM'!$S$1:$DM$1,0))))))&gt;0,IF($H$7=1,INDEX('FIRST TERM'!$S$6:$DM$70,MATCH($B$8,'FIRST TERM'!$B$6:$B$24,0),MATCH($A39&amp;$B$16,'FIRST TERM'!$S$1:$DM$1,0)),IF($H$7=2,INDEX('SECOND TERM'!$S$6:$DM$70,MATCH($B$8,'SECOND TERM'!$B$6:$B$24,0),MATCH($A39&amp;$B$16,'SECOND TERM'!$S$1:$DM$1,0)),IF($H$7=3,INDEX('SECOND TERM'!$S$6:$DM$70,MATCH($B$8,'SECOND TERM'!$B$6:$B$24,0),MATCH($A39&amp;$B$16,'SECOND TERM'!$S$1:$DM$1,0))))),"-")</f>
        <v>-</v>
      </c>
      <c r="C39" s="27">
        <f>IF((IF($H$7=1,INDEX('FIRST TERM'!$S$6:$DM$70,MATCH($B$8,'FIRST TERM'!$B$6:$B$24,0),MATCH($A39&amp;$C$16,'FIRST TERM'!$S$1:$DM$1,0)),IF($H$7=2,INDEX('SECOND TERM'!$S$6:$DM$70,MATCH($B$8,'SECOND TERM'!$B$6:$B$24,0),MATCH($A39&amp;$C$16,'SECOND TERM'!$S$1:$DM$1,0)),IF($H$7=3,INDEX('SECOND TERM'!$S$6:$DM$70,MATCH($B$8,'SECOND TERM'!$B$6:$B$24,0),MATCH($A39&amp;$C$16,'SECOND TERM'!$S$1:$DM$1,0))))))&gt;0,IF($H$7=1,INDEX('FIRST TERM'!$S$6:$DM$70,MATCH($B$8,'FIRST TERM'!$B$6:$B$24,0),MATCH($A39&amp;$C$16,'FIRST TERM'!$S$1:$DM$1,0)),IF($H$7=2,INDEX('SECOND TERM'!$S$6:$DM$70,MATCH($B$8,'SECOND TERM'!$B$6:$B$24,0),MATCH($A39&amp;$C$16,'SECOND TERM'!$S$1:$DM$1,0)),IF($H$7=3,INDEX('SECOND TERM'!$S$6:$DM$70,MATCH($B$8,'SECOND TERM'!$B$6:$B$24,0),MATCH($A39&amp;$C$16,'SECOND TERM'!$S$1:$DM$1,0))))),"-")</f>
        <v>40</v>
      </c>
      <c r="D39" s="17" t="str">
        <f t="shared" si="0"/>
        <v>-</v>
      </c>
      <c r="E39" s="17" t="str">
        <f t="shared" si="1"/>
        <v>-</v>
      </c>
      <c r="F39" s="18" t="str">
        <f t="shared" si="2"/>
        <v>-</v>
      </c>
    </row>
    <row r="40" spans="1:6">
      <c r="A40" s="16" t="str">
        <f>IF($H$7=1,'FIRST TERM'!$DC$2,IF($H$7=2,'SECOND TERM'!$DC$2,'THIRD TERM'!$DC$2))</f>
        <v>-</v>
      </c>
      <c r="B40" s="27" t="str">
        <f>IF((IF($H$7=1,INDEX('FIRST TERM'!$S$6:$DM$70,MATCH($B$8,'FIRST TERM'!$B$6:$B$24,0),MATCH($A40&amp;$B$16,'FIRST TERM'!$S$1:$DM$1,0)),IF($H$7=2,INDEX('SECOND TERM'!$S$6:$DM$70,MATCH($B$8,'SECOND TERM'!$B$6:$B$24,0),MATCH($A40&amp;$B$16,'SECOND TERM'!$S$1:$DM$1,0)),IF($H$7=3,INDEX('SECOND TERM'!$S$6:$DM$70,MATCH($B$8,'SECOND TERM'!$B$6:$B$24,0),MATCH($A40&amp;$B$16,'SECOND TERM'!$S$1:$DM$1,0))))))&gt;0,IF($H$7=1,INDEX('FIRST TERM'!$S$6:$DM$70,MATCH($B$8,'FIRST TERM'!$B$6:$B$24,0),MATCH($A40&amp;$B$16,'FIRST TERM'!$S$1:$DM$1,0)),IF($H$7=2,INDEX('SECOND TERM'!$S$6:$DM$70,MATCH($B$8,'SECOND TERM'!$B$6:$B$24,0),MATCH($A40&amp;$B$16,'SECOND TERM'!$S$1:$DM$1,0)),IF($H$7=3,INDEX('SECOND TERM'!$S$6:$DM$70,MATCH($B$8,'SECOND TERM'!$B$6:$B$24,0),MATCH($A40&amp;$B$16,'SECOND TERM'!$S$1:$DM$1,0))))),"-")</f>
        <v>-</v>
      </c>
      <c r="C40" s="27" t="str">
        <f>IF((IF($H$7=1,INDEX('FIRST TERM'!$S$6:$DM$70,MATCH($B$8,'FIRST TERM'!$B$6:$B$24,0),MATCH($A40&amp;$C$16,'FIRST TERM'!$S$1:$DM$1,0)),IF($H$7=2,INDEX('SECOND TERM'!$S$6:$DM$70,MATCH($B$8,'SECOND TERM'!$B$6:$B$24,0),MATCH($A40&amp;$C$16,'SECOND TERM'!$S$1:$DM$1,0)),IF($H$7=3,INDEX('SECOND TERM'!$S$6:$DM$70,MATCH($B$8,'SECOND TERM'!$B$6:$B$24,0),MATCH($A40&amp;$C$16,'SECOND TERM'!$S$1:$DM$1,0))))))&gt;0,IF($H$7=1,INDEX('FIRST TERM'!$S$6:$DM$70,MATCH($B$8,'FIRST TERM'!$B$6:$B$24,0),MATCH($A40&amp;$C$16,'FIRST TERM'!$S$1:$DM$1,0)),IF($H$7=2,INDEX('SECOND TERM'!$S$6:$DM$70,MATCH($B$8,'SECOND TERM'!$B$6:$B$24,0),MATCH($A40&amp;$C$16,'SECOND TERM'!$S$1:$DM$1,0)),IF($H$7=3,INDEX('SECOND TERM'!$S$6:$DM$70,MATCH($B$8,'SECOND TERM'!$B$6:$B$24,0),MATCH($A40&amp;$C$16,'SECOND TERM'!$S$1:$DM$1,0))))),"-")</f>
        <v>-</v>
      </c>
      <c r="D40" s="17" t="str">
        <f t="shared" si="0"/>
        <v>-</v>
      </c>
      <c r="E40" s="17" t="str">
        <f t="shared" si="1"/>
        <v>-</v>
      </c>
      <c r="F40" s="18" t="str">
        <f t="shared" si="2"/>
        <v>-</v>
      </c>
    </row>
    <row r="41" spans="1:6">
      <c r="A41" s="16" t="str">
        <f>IF($H$7=1,'FIRST TERM'!$DG$2,IF($H$7=2,'SECOND TERM'!$DG$2,'THIRD TERM'!$DG$2))</f>
        <v>-</v>
      </c>
      <c r="B41" s="27" t="str">
        <f>IF((IF($H$7=1,INDEX('FIRST TERM'!$S$6:$DM$70,MATCH($B$8,'FIRST TERM'!$B$6:$B$24,0),MATCH($A41&amp;$B$16,'FIRST TERM'!$S$1:$DM$1,0)),IF($H$7=2,INDEX('SECOND TERM'!$S$6:$DM$70,MATCH($B$8,'SECOND TERM'!$B$6:$B$24,0),MATCH($A41&amp;$B$16,'SECOND TERM'!$S$1:$DM$1,0)),IF($H$7=3,INDEX('SECOND TERM'!$S$6:$DM$70,MATCH($B$8,'SECOND TERM'!$B$6:$B$24,0),MATCH($A41&amp;$B$16,'SECOND TERM'!$S$1:$DM$1,0))))))&gt;0,IF($H$7=1,INDEX('FIRST TERM'!$S$6:$DM$70,MATCH($B$8,'FIRST TERM'!$B$6:$B$24,0),MATCH($A41&amp;$B$16,'FIRST TERM'!$S$1:$DM$1,0)),IF($H$7=2,INDEX('SECOND TERM'!$S$6:$DM$70,MATCH($B$8,'SECOND TERM'!$B$6:$B$24,0),MATCH($A41&amp;$B$16,'SECOND TERM'!$S$1:$DM$1,0)),IF($H$7=3,INDEX('SECOND TERM'!$S$6:$DM$70,MATCH($B$8,'SECOND TERM'!$B$6:$B$24,0),MATCH($A41&amp;$B$16,'SECOND TERM'!$S$1:$DM$1,0))))),"-")</f>
        <v>-</v>
      </c>
      <c r="C41" s="27" t="str">
        <f>IF((IF($H$7=1,INDEX('FIRST TERM'!$S$6:$DM$70,MATCH($B$8,'FIRST TERM'!$B$6:$B$24,0),MATCH($A41&amp;$C$16,'FIRST TERM'!$S$1:$DM$1,0)),IF($H$7=2,INDEX('SECOND TERM'!$S$6:$DM$70,MATCH($B$8,'SECOND TERM'!$B$6:$B$24,0),MATCH($A41&amp;$C$16,'SECOND TERM'!$S$1:$DM$1,0)),IF($H$7=3,INDEX('SECOND TERM'!$S$6:$DM$70,MATCH($B$8,'SECOND TERM'!$B$6:$B$24,0),MATCH($A41&amp;$C$16,'SECOND TERM'!$S$1:$DM$1,0))))))&gt;0,IF($H$7=1,INDEX('FIRST TERM'!$S$6:$DM$70,MATCH($B$8,'FIRST TERM'!$B$6:$B$24,0),MATCH($A41&amp;$C$16,'FIRST TERM'!$S$1:$DM$1,0)),IF($H$7=2,INDEX('SECOND TERM'!$S$6:$DM$70,MATCH($B$8,'SECOND TERM'!$B$6:$B$24,0),MATCH($A41&amp;$C$16,'SECOND TERM'!$S$1:$DM$1,0)),IF($H$7=3,INDEX('SECOND TERM'!$S$6:$DM$70,MATCH($B$8,'SECOND TERM'!$B$6:$B$24,0),MATCH($A41&amp;$C$16,'SECOND TERM'!$S$1:$DM$1,0))))),"-")</f>
        <v>-</v>
      </c>
      <c r="D41" s="17" t="str">
        <f t="shared" si="0"/>
        <v>-</v>
      </c>
      <c r="E41" s="17" t="str">
        <f t="shared" si="1"/>
        <v>-</v>
      </c>
      <c r="F41" s="18" t="str">
        <f t="shared" si="2"/>
        <v>-</v>
      </c>
    </row>
    <row r="42" spans="1:6" ht="16.5" customHeight="1" thickBot="1">
      <c r="A42" s="16" t="str">
        <f>IF($H$7=1,'FIRST TERM'!$DK$2,IF($H$7=2,'SECOND TERM'!$DK$2,'THIRD TERM'!$DK$2))</f>
        <v>-</v>
      </c>
      <c r="B42" s="27" t="str">
        <f>IF((IF($H$7=1,INDEX('FIRST TERM'!$S$6:$DM$70,MATCH($B$8,'FIRST TERM'!$B$6:$B$24,0),MATCH($A42&amp;$B$16,'FIRST TERM'!$S$1:$DM$1,0)),IF($H$7=2,INDEX('SECOND TERM'!$S$6:$DM$70,MATCH($B$8,'SECOND TERM'!$B$6:$B$24,0),MATCH($A42&amp;$B$16,'SECOND TERM'!$S$1:$DM$1,0)),IF($H$7=3,INDEX('SECOND TERM'!$S$6:$DM$70,MATCH($B$8,'SECOND TERM'!$B$6:$B$24,0),MATCH($A42&amp;$B$16,'SECOND TERM'!$S$1:$DM$1,0))))))&gt;0,IF($H$7=1,INDEX('FIRST TERM'!$S$6:$DM$70,MATCH($B$8,'FIRST TERM'!$B$6:$B$24,0),MATCH($A42&amp;$B$16,'FIRST TERM'!$S$1:$DM$1,0)),IF($H$7=2,INDEX('SECOND TERM'!$S$6:$DM$70,MATCH($B$8,'SECOND TERM'!$B$6:$B$24,0),MATCH($A42&amp;$B$16,'SECOND TERM'!$S$1:$DM$1,0)),IF($H$7=3,INDEX('SECOND TERM'!$S$6:$DM$70,MATCH($B$8,'SECOND TERM'!$B$6:$B$24,0),MATCH($A42&amp;$B$16,'SECOND TERM'!$S$1:$DM$1,0))))),"-")</f>
        <v>-</v>
      </c>
      <c r="C42" s="27" t="str">
        <f>IF((IF($H$7=1,INDEX('FIRST TERM'!$S$6:$DM$70,MATCH($B$8,'FIRST TERM'!$B$6:$B$24,0),MATCH($A42&amp;$C$16,'FIRST TERM'!$S$1:$DM$1,0)),IF($H$7=2,INDEX('SECOND TERM'!$S$6:$DM$70,MATCH($B$8,'SECOND TERM'!$B$6:$B$24,0),MATCH($A42&amp;$C$16,'SECOND TERM'!$S$1:$DM$1,0)),IF($H$7=3,INDEX('SECOND TERM'!$S$6:$DM$70,MATCH($B$8,'SECOND TERM'!$B$6:$B$24,0),MATCH($A42&amp;$C$16,'SECOND TERM'!$S$1:$DM$1,0))))))&gt;0,IF($H$7=1,INDEX('FIRST TERM'!$S$6:$DM$70,MATCH($B$8,'FIRST TERM'!$B$6:$B$24,0),MATCH($A42&amp;$C$16,'FIRST TERM'!$S$1:$DM$1,0)),IF($H$7=2,INDEX('SECOND TERM'!$S$6:$DM$70,MATCH($B$8,'SECOND TERM'!$B$6:$B$24,0),MATCH($A42&amp;$C$16,'SECOND TERM'!$S$1:$DM$1,0)),IF($H$7=3,INDEX('SECOND TERM'!$S$6:$DM$70,MATCH($B$8,'SECOND TERM'!$B$6:$B$24,0),MATCH($A42&amp;$C$16,'SECOND TERM'!$S$1:$DM$1,0))))),"-")</f>
        <v>-</v>
      </c>
      <c r="D42" s="198" t="str">
        <f t="shared" si="0"/>
        <v>-</v>
      </c>
      <c r="E42" s="17" t="str">
        <f t="shared" si="1"/>
        <v>-</v>
      </c>
      <c r="F42" s="18" t="str">
        <f t="shared" si="2"/>
        <v>-</v>
      </c>
    </row>
    <row r="43" spans="1:6" ht="16.5" customHeight="1" thickBot="1">
      <c r="B43" s="22"/>
      <c r="D43" s="251" t="s">
        <v>141</v>
      </c>
      <c r="E43" s="252"/>
      <c r="F43" s="199">
        <f>IF(SUMIF($D$18:$D$42,"&gt;0")&gt;0,SUMIF($D$18:$D$42,"&gt;0"),"-")</f>
        <v>510</v>
      </c>
    </row>
    <row r="44" spans="1:6" ht="16.5" customHeight="1" thickBot="1">
      <c r="B44" s="22"/>
      <c r="D44" s="251" t="s">
        <v>142</v>
      </c>
      <c r="E44" s="252"/>
      <c r="F44" s="199">
        <f>IF(COUNTIF($D$18:$D$42,"&gt;0")&gt;0,COUNTIF($D$18:$D$42,"&gt;0"),"-")</f>
        <v>8</v>
      </c>
    </row>
    <row r="45" spans="1:6" ht="16.5" customHeight="1" thickBot="1">
      <c r="B45" s="22"/>
      <c r="D45" s="253" t="s">
        <v>143</v>
      </c>
      <c r="E45" s="254"/>
      <c r="F45" s="200">
        <f>IFERROR(F43/F44,"-")</f>
        <v>63.75</v>
      </c>
    </row>
    <row r="46" spans="1:6" ht="16.5" customHeight="1" thickBot="1">
      <c r="B46" s="22"/>
      <c r="D46" s="205"/>
      <c r="E46" s="205"/>
      <c r="F46" s="206"/>
    </row>
    <row r="47" spans="1:6" ht="16.5" customHeight="1" thickBot="1">
      <c r="A47" s="207"/>
      <c r="B47" s="256" t="s">
        <v>170</v>
      </c>
      <c r="C47" s="256"/>
      <c r="D47" s="256"/>
      <c r="E47" s="208"/>
      <c r="F47" s="209"/>
    </row>
    <row r="48" spans="1:6" ht="16.5" customHeight="1" thickBot="1">
      <c r="A48" s="210" t="s">
        <v>176</v>
      </c>
      <c r="B48" s="210" t="s">
        <v>177</v>
      </c>
      <c r="C48" s="210" t="s">
        <v>178</v>
      </c>
      <c r="D48" s="210" t="s">
        <v>179</v>
      </c>
      <c r="E48" s="210" t="s">
        <v>180</v>
      </c>
      <c r="F48" s="210" t="s">
        <v>171</v>
      </c>
    </row>
    <row r="49" spans="1:13" s="58" customFormat="1" ht="15" thickBot="1">
      <c r="C49" s="56"/>
      <c r="H49" s="59"/>
    </row>
    <row r="50" spans="1:13" ht="15" customHeight="1">
      <c r="A50" s="138" t="s">
        <v>24</v>
      </c>
      <c r="B50" s="47" t="s">
        <v>19</v>
      </c>
      <c r="C50" s="19"/>
      <c r="D50" s="261" t="s">
        <v>18</v>
      </c>
      <c r="E50" s="262"/>
      <c r="F50" s="47" t="s">
        <v>19</v>
      </c>
      <c r="K50" s="202"/>
    </row>
    <row r="51" spans="1:13" ht="15.75" customHeight="1" thickBot="1">
      <c r="A51" s="139"/>
      <c r="B51" s="57" t="s">
        <v>63</v>
      </c>
      <c r="C51" s="19"/>
      <c r="D51" s="263"/>
      <c r="E51" s="264"/>
      <c r="F51" s="57" t="s">
        <v>63</v>
      </c>
    </row>
    <row r="52" spans="1:13" ht="15" customHeight="1" thickBot="1">
      <c r="A52" s="135" t="s">
        <v>4</v>
      </c>
      <c r="B52" s="137">
        <f>IF($H$7=1,INDEX('FIRST TERM'!$L$6:$Q$70,MATCH($B$8,'FIRST TERM'!$B$6:$B$70,0),MATCH($A52,'FIRST TERM'!$L$5:$Q$5,0)),IF($H$7=2,INDEX('SECOND TERM'!$L$6:$Q$70,MATCH($B$8,'SECOND TERM'!$B$6:$B$70,0),MATCH($A52,'SECOND TERM'!$L$5:$Q$5,0)),IF($H$7=3,INDEX('THIRD TERM'!$L$6:$Q$70,MATCH($B$8,'THIRD TERM'!$B$6:$B$70,0),MATCH($A52,'THIRD TERM'!$L$5:$Q$5,0)))))</f>
        <v>4</v>
      </c>
      <c r="C52" s="19"/>
      <c r="D52" s="48" t="s">
        <v>26</v>
      </c>
      <c r="E52" s="49"/>
      <c r="F52" s="137">
        <f>IF($H$7=1,INDEX('FIRST TERM'!$G$6:$J$70,MATCH($B$8,'FIRST TERM'!$B$6:$B$70,0),MATCH($D52,'FIRST TERM'!$G$5:$J$5,0)),IF($H$7=2,INDEX('SECOND TERM'!$G$6:$J$70,MATCH($B$8,'SECOND TERM'!$B$6:$B$70,0),MATCH($D52,'SECOND TERM'!$G$5:$J$5,0)),IF($H$7=3,INDEX('THIRD TERM'!$G$6:$J$70,MATCH($B$8,'THIRD TERM'!$B$6:$B$70,0),MATCH($D52,'THIRD TERM'!$G$5:$J$5,0)))))</f>
        <v>2</v>
      </c>
    </row>
    <row r="53" spans="1:13" ht="15.75" customHeight="1" thickBot="1">
      <c r="A53" s="134" t="s">
        <v>5</v>
      </c>
      <c r="B53" s="137">
        <f>IF($H$7=1,INDEX('FIRST TERM'!$L$6:$Q$70,MATCH($B$8,'FIRST TERM'!$B$6:$B$70,0),MATCH($A53,'FIRST TERM'!$L$5:$Q$5,0)),IF($H$7=2,INDEX('SECOND TERM'!$L$6:$Q$70,MATCH($B$8,'SECOND TERM'!$B$6:$B$70,0),MATCH($A53,'SECOND TERM'!$L$5:$Q$5,0)),IF($H$7=3,INDEX('THIRD TERM'!$L$6:$Q$70,MATCH($B$8,'THIRD TERM'!$B$6:$B$70,0),MATCH($A53,'THIRD TERM'!$L$5:$Q$5,0)))))</f>
        <v>4</v>
      </c>
      <c r="C53" s="19"/>
      <c r="D53" s="48" t="s">
        <v>3</v>
      </c>
      <c r="E53" s="49"/>
      <c r="F53" s="137">
        <f>IF($H$7=1,INDEX('FIRST TERM'!$G$6:$J$70,MATCH($B$8,'FIRST TERM'!$B$6:$B$70,0),MATCH($D53,'FIRST TERM'!$G$5:$J$5,0)),IF($H$7=2,INDEX('SECOND TERM'!$G$6:$J$70,MATCH($B$8,'SECOND TERM'!$B$6:$B$70,0),MATCH($D53,'SECOND TERM'!$G$5:$J$5,0)),IF($H$7=3,INDEX('THIRD TERM'!$G$6:$J$70,MATCH($B$8,'THIRD TERM'!$B$6:$B$70,0),MATCH($D53,'THIRD TERM'!$G$5:$J$5,0)))))</f>
        <v>4</v>
      </c>
      <c r="M53" s="203"/>
    </row>
    <row r="54" spans="1:13" ht="16" thickBot="1">
      <c r="A54" s="134" t="s">
        <v>6</v>
      </c>
      <c r="B54" s="137">
        <f>IF($H$7=1,INDEX('FIRST TERM'!$L$6:$Q$70,MATCH($B$8,'FIRST TERM'!$B$6:$B$70,0),MATCH($A54,'FIRST TERM'!$L$5:$Q$5,0)),IF($H$7=2,INDEX('SECOND TERM'!$L$6:$Q$70,MATCH($B$8,'SECOND TERM'!$B$6:$B$70,0),MATCH($A54,'SECOND TERM'!$L$5:$Q$5,0)),IF($H$7=3,INDEX('THIRD TERM'!$L$6:$Q$70,MATCH($B$8,'THIRD TERM'!$B$6:$B$70,0),MATCH($A54,'THIRD TERM'!$L$5:$Q$5,0)))))</f>
        <v>4</v>
      </c>
      <c r="C54" s="20"/>
      <c r="D54" s="48" t="s">
        <v>92</v>
      </c>
      <c r="E54" s="49"/>
      <c r="F54" s="137">
        <f>IF($H$7=1,INDEX('FIRST TERM'!$G$6:$J$70,MATCH($B$8,'FIRST TERM'!$B$6:$B$70,0),MATCH($D54,'FIRST TERM'!$G$5:$J$5,0)),IF($H$7=2,INDEX('SECOND TERM'!$G$6:$J$70,MATCH($B$8,'SECOND TERM'!$B$6:$B$70,0),MATCH($D54,'SECOND TERM'!$G$5:$J$5,0)),IF($H$7=3,INDEX('THIRD TERM'!$G$6:$J$70,MATCH($B$8,'THIRD TERM'!$B$6:$B$70,0),MATCH($D54,'THIRD TERM'!$G$5:$J$5,0)))))</f>
        <v>4</v>
      </c>
    </row>
    <row r="55" spans="1:13" ht="15" thickBot="1">
      <c r="A55" s="134" t="s">
        <v>7</v>
      </c>
      <c r="B55" s="137">
        <f>IF($H$7=1,INDEX('FIRST TERM'!$L$6:$Q$70,MATCH($B$8,'FIRST TERM'!$B$6:$B$70,0),MATCH($A55,'FIRST TERM'!$L$5:$Q$5,0)),IF($H$7=2,INDEX('SECOND TERM'!$L$6:$Q$70,MATCH($B$8,'SECOND TERM'!$B$6:$B$70,0),MATCH($A55,'SECOND TERM'!$L$5:$Q$5,0)),IF($H$7=3,INDEX('THIRD TERM'!$L$6:$Q$70,MATCH($B$8,'THIRD TERM'!$B$6:$B$70,0),MATCH($A55,'THIRD TERM'!$L$5:$Q$5,0)))))</f>
        <v>1</v>
      </c>
      <c r="C55" s="21"/>
      <c r="D55" s="48" t="s">
        <v>93</v>
      </c>
      <c r="E55" s="49"/>
      <c r="F55" s="137">
        <f>IF($H$7=1,INDEX('FIRST TERM'!$G$6:$J$70,MATCH($B$8,'FIRST TERM'!$B$6:$B$70,0),MATCH($D55,'FIRST TERM'!$G$5:$J$5,0)),IF($H$7=2,INDEX('SECOND TERM'!$G$6:$J$70,MATCH($B$8,'SECOND TERM'!$B$6:$B$70,0),MATCH($D55,'SECOND TERM'!$G$5:$J$5,0)),IF($H$7=3,INDEX('THIRD TERM'!$G$6:$J$70,MATCH($B$8,'THIRD TERM'!$B$6:$B$70,0),MATCH($D55,'THIRD TERM'!$G$5:$J$5,0)))))</f>
        <v>4</v>
      </c>
    </row>
    <row r="56" spans="1:13">
      <c r="A56" s="134" t="s">
        <v>8</v>
      </c>
      <c r="B56" s="137">
        <f>IF($H$7=1,INDEX('FIRST TERM'!$L$6:$Q$70,MATCH($B$8,'FIRST TERM'!$B$6:$B$70,0),MATCH($A56,'FIRST TERM'!$L$5:$Q$5,0)),IF($H$7=2,INDEX('SECOND TERM'!$L$6:$Q$70,MATCH($B$8,'SECOND TERM'!$B$6:$B$70,0),MATCH($A56,'SECOND TERM'!$L$5:$Q$5,0)),IF($H$7=3,INDEX('THIRD TERM'!$L$6:$Q$70,MATCH($B$8,'THIRD TERM'!$B$6:$B$70,0),MATCH($A56,'THIRD TERM'!$L$5:$Q$5,0)))))</f>
        <v>4</v>
      </c>
      <c r="C56" s="12"/>
    </row>
    <row r="57" spans="1:13" ht="15" thickBot="1">
      <c r="A57" s="136" t="s">
        <v>82</v>
      </c>
      <c r="B57" s="137">
        <f>IF($H$7=1,INDEX('FIRST TERM'!$L$6:$Q$70,MATCH($B$8,'FIRST TERM'!$B$6:$B$70,0),MATCH($A57,'FIRST TERM'!$L$5:$Q$5,0)),IF($H$7=2,INDEX('SECOND TERM'!$L$6:$Q$70,MATCH($B$8,'SECOND TERM'!$B$6:$B$70,0),MATCH($A57,'SECOND TERM'!$L$5:$Q$5,0)),IF($H$7=3,INDEX('THIRD TERM'!$L$6:$Q$70,MATCH($B$8,'THIRD TERM'!$B$6:$B$70,0),MATCH($A57,'THIRD TERM'!$L$5:$Q$5,0)))))</f>
        <v>4</v>
      </c>
    </row>
    <row r="58" spans="1:13">
      <c r="A58" s="265" t="s">
        <v>38</v>
      </c>
      <c r="B58" s="267" t="s">
        <v>45</v>
      </c>
      <c r="C58" s="268"/>
      <c r="D58" s="268"/>
      <c r="E58" s="268"/>
      <c r="F58" s="269"/>
    </row>
    <row r="59" spans="1:13" ht="15" thickBot="1">
      <c r="A59" s="266"/>
      <c r="B59" s="270"/>
      <c r="C59" s="271"/>
      <c r="D59" s="272"/>
      <c r="E59" s="271"/>
      <c r="F59" s="273"/>
    </row>
    <row r="60" spans="1:13" ht="15" thickBot="1">
      <c r="D60" s="155"/>
    </row>
    <row r="61" spans="1:13">
      <c r="A61" s="274" t="s">
        <v>91</v>
      </c>
      <c r="B61" s="276" t="str">
        <f>VLOOKUP($F$10,setup1!$B$46:$C$51,2,0)</f>
        <v> What an outstanding performance! Please never relent.</v>
      </c>
      <c r="C61" s="268"/>
      <c r="D61" s="268"/>
      <c r="E61" s="268"/>
      <c r="F61" s="269"/>
    </row>
    <row r="62" spans="1:13" ht="15" customHeight="1" thickBot="1">
      <c r="A62" s="275"/>
      <c r="B62" s="277"/>
      <c r="C62" s="271"/>
      <c r="D62" s="271"/>
      <c r="E62" s="271"/>
      <c r="F62" s="273"/>
    </row>
    <row r="63" spans="1:13" ht="15" customHeight="1">
      <c r="A63" s="71"/>
      <c r="B63" s="71"/>
      <c r="C63" s="71"/>
      <c r="D63" s="71"/>
      <c r="E63" s="71"/>
    </row>
    <row r="64" spans="1:13" ht="15" customHeight="1">
      <c r="D64" s="71"/>
      <c r="E64" s="71"/>
    </row>
    <row r="66" spans="1:17">
      <c r="A66" s="248" t="s">
        <v>85</v>
      </c>
      <c r="B66" s="249"/>
      <c r="D66" s="248" t="s">
        <v>84</v>
      </c>
      <c r="E66" s="250"/>
      <c r="F66" s="250"/>
    </row>
    <row r="69" spans="1:17" ht="2.15" customHeight="1">
      <c r="A69" s="204"/>
      <c r="B69" s="204"/>
      <c r="C69" s="204"/>
      <c r="D69" s="204"/>
      <c r="E69" s="204"/>
      <c r="F69" s="204"/>
    </row>
    <row r="70" spans="1:17" ht="15.5">
      <c r="A70" s="255" t="str">
        <f ca="1" xml:space="preserve"> "Copyright © "&amp; TEXT(YEAR(NOW())-1,0)&amp;" - " &amp;TEXT(NOW(),"YYYY") &amp;" "&amp; Dashboard!D19</f>
        <v>Copyright © 2023 - 2024 PASCALX COLLEGE</v>
      </c>
      <c r="B70" s="255"/>
      <c r="C70" s="255"/>
    </row>
    <row r="77" spans="1:17">
      <c r="O77"/>
    </row>
    <row r="78" spans="1:17">
      <c r="O78"/>
      <c r="P78"/>
      <c r="Q78"/>
    </row>
    <row r="79" spans="1:17">
      <c r="O79"/>
      <c r="P79"/>
      <c r="Q79"/>
    </row>
    <row r="80" spans="1:17">
      <c r="O80"/>
      <c r="P80"/>
      <c r="Q80"/>
    </row>
    <row r="81" spans="15:17">
      <c r="O81"/>
      <c r="P81"/>
      <c r="Q81"/>
    </row>
    <row r="82" spans="15:17">
      <c r="O82"/>
      <c r="P82"/>
      <c r="Q82"/>
    </row>
    <row r="83" spans="15:17">
      <c r="O83"/>
      <c r="P83"/>
      <c r="Q83"/>
    </row>
    <row r="84" spans="15:17">
      <c r="O84"/>
      <c r="P84"/>
      <c r="Q84"/>
    </row>
  </sheetData>
  <sheetProtection password="D9FE"/>
  <mergeCells count="21">
    <mergeCell ref="B6:D7"/>
    <mergeCell ref="B8:D8"/>
    <mergeCell ref="A10:B10"/>
    <mergeCell ref="C10:C11"/>
    <mergeCell ref="F10:F12"/>
    <mergeCell ref="B9:D9"/>
    <mergeCell ref="A70:C70"/>
    <mergeCell ref="B47:D47"/>
    <mergeCell ref="E16:E17"/>
    <mergeCell ref="F16:F17"/>
    <mergeCell ref="D50:E51"/>
    <mergeCell ref="A58:A59"/>
    <mergeCell ref="B58:F59"/>
    <mergeCell ref="A61:A62"/>
    <mergeCell ref="B61:F62"/>
    <mergeCell ref="E14:F14"/>
    <mergeCell ref="A66:B66"/>
    <mergeCell ref="D66:F66"/>
    <mergeCell ref="D43:E43"/>
    <mergeCell ref="D44:E44"/>
    <mergeCell ref="D45:E45"/>
  </mergeCells>
  <printOptions horizontalCentered="1"/>
  <pageMargins left="0" right="0" top="0.314" bottom="0.11799999999999999" header="0.11799999999999999" footer="0.11799999999999999"/>
  <pageSetup paperSize="9" orientation="portrait" cellComments="asDisplaye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print="0" autoLine="0" autoPict="0">
                <anchor moveWithCells="1">
                  <from>
                    <xdr:col>8</xdr:col>
                    <xdr:colOff>31750</xdr:colOff>
                    <xdr:row>2</xdr:row>
                    <xdr:rowOff>19050</xdr:rowOff>
                  </from>
                  <to>
                    <xdr:col>10</xdr:col>
                    <xdr:colOff>571500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printresult">
                <anchor moveWithCells="1" sizeWithCells="1">
                  <from>
                    <xdr:col>11</xdr:col>
                    <xdr:colOff>0</xdr:colOff>
                    <xdr:row>2</xdr:row>
                    <xdr:rowOff>19050</xdr:rowOff>
                  </from>
                  <to>
                    <xdr:col>13</xdr:col>
                    <xdr:colOff>431800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Option Button 3">
              <controlPr defaultSize="0" autoFill="0" autoLine="0" autoPict="0">
                <anchor moveWithCells="1">
                  <from>
                    <xdr:col>8</xdr:col>
                    <xdr:colOff>69850</xdr:colOff>
                    <xdr:row>0</xdr:row>
                    <xdr:rowOff>76200</xdr:rowOff>
                  </from>
                  <to>
                    <xdr:col>9</xdr:col>
                    <xdr:colOff>374650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Option Button 4">
              <controlPr defaultSize="0" autoFill="0" autoLine="0" autoPict="0">
                <anchor moveWithCells="1">
                  <from>
                    <xdr:col>10</xdr:col>
                    <xdr:colOff>38100</xdr:colOff>
                    <xdr:row>0</xdr:row>
                    <xdr:rowOff>76200</xdr:rowOff>
                  </from>
                  <to>
                    <xdr:col>11</xdr:col>
                    <xdr:colOff>342900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Option Button 5">
              <controlPr defaultSize="0" autoFill="0" autoLine="0" autoPict="0">
                <anchor moveWithCells="1">
                  <from>
                    <xdr:col>12</xdr:col>
                    <xdr:colOff>12700</xdr:colOff>
                    <xdr:row>0</xdr:row>
                    <xdr:rowOff>76200</xdr:rowOff>
                  </from>
                  <to>
                    <xdr:col>12</xdr:col>
                    <xdr:colOff>927100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E520B8-6051-4BFD-AB03-6BDC8DEDAFC3}">
          <x14:formula1>
            <xm:f>setup1!$C$3:$C$15</xm:f>
          </x14:formula1>
          <xm:sqref>B58:F59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9D0D0-D1D9-4B3E-B314-76ECCF1D2AE5}">
  <sheetPr codeName="Sheet9"/>
  <dimension ref="A1:D21"/>
  <sheetViews>
    <sheetView workbookViewId="0">
      <selection activeCell="D2" sqref="D2"/>
    </sheetView>
  </sheetViews>
  <sheetFormatPr defaultRowHeight="14.5"/>
  <cols>
    <col min="1" max="1" width="26.26953125" bestFit="1" customWidth="1"/>
    <col min="2" max="2" width="19.7265625" customWidth="1"/>
  </cols>
  <sheetData>
    <row r="1" spans="1:4">
      <c r="A1" t="s">
        <v>144</v>
      </c>
      <c r="B1" t="s">
        <v>145</v>
      </c>
      <c r="C1" t="s">
        <v>72</v>
      </c>
      <c r="D1" t="s">
        <v>172</v>
      </c>
    </row>
    <row r="2" spans="1:4">
      <c r="A2" t="s">
        <v>109</v>
      </c>
      <c r="B2" t="s">
        <v>146</v>
      </c>
      <c r="C2" t="s">
        <v>43</v>
      </c>
    </row>
    <row r="3" spans="1:4">
      <c r="A3" t="s">
        <v>110</v>
      </c>
      <c r="B3" t="s">
        <v>147</v>
      </c>
      <c r="C3" t="s">
        <v>42</v>
      </c>
    </row>
    <row r="4" spans="1:4">
      <c r="A4" t="s">
        <v>111</v>
      </c>
      <c r="B4" t="s">
        <v>148</v>
      </c>
      <c r="C4" t="s">
        <v>43</v>
      </c>
    </row>
    <row r="5" spans="1:4">
      <c r="A5" t="s">
        <v>112</v>
      </c>
      <c r="B5" t="s">
        <v>149</v>
      </c>
      <c r="C5" t="s">
        <v>42</v>
      </c>
    </row>
    <row r="6" spans="1:4">
      <c r="A6" t="s">
        <v>113</v>
      </c>
      <c r="B6" t="s">
        <v>150</v>
      </c>
      <c r="C6" t="s">
        <v>43</v>
      </c>
    </row>
    <row r="7" spans="1:4">
      <c r="A7" t="s">
        <v>114</v>
      </c>
      <c r="B7" t="s">
        <v>151</v>
      </c>
      <c r="C7" t="s">
        <v>42</v>
      </c>
    </row>
    <row r="8" spans="1:4">
      <c r="A8" t="s">
        <v>115</v>
      </c>
      <c r="B8" t="s">
        <v>152</v>
      </c>
      <c r="C8" t="s">
        <v>43</v>
      </c>
    </row>
    <row r="9" spans="1:4">
      <c r="A9" t="s">
        <v>116</v>
      </c>
      <c r="B9" t="s">
        <v>153</v>
      </c>
      <c r="C9" t="s">
        <v>42</v>
      </c>
    </row>
    <row r="10" spans="1:4">
      <c r="A10" t="s">
        <v>117</v>
      </c>
      <c r="B10" t="s">
        <v>154</v>
      </c>
      <c r="C10" t="s">
        <v>43</v>
      </c>
    </row>
    <row r="11" spans="1:4">
      <c r="A11" t="s">
        <v>118</v>
      </c>
      <c r="B11" t="s">
        <v>155</v>
      </c>
      <c r="C11" t="s">
        <v>42</v>
      </c>
    </row>
    <row r="12" spans="1:4">
      <c r="A12" t="s">
        <v>119</v>
      </c>
      <c r="B12" t="s">
        <v>156</v>
      </c>
      <c r="C12" t="s">
        <v>43</v>
      </c>
    </row>
    <row r="13" spans="1:4">
      <c r="A13" t="s">
        <v>168</v>
      </c>
      <c r="B13" t="s">
        <v>157</v>
      </c>
      <c r="C13" t="s">
        <v>42</v>
      </c>
    </row>
    <row r="14" spans="1:4">
      <c r="A14" t="s">
        <v>130</v>
      </c>
      <c r="B14" t="s">
        <v>158</v>
      </c>
      <c r="C14" t="s">
        <v>43</v>
      </c>
    </row>
    <row r="15" spans="1:4">
      <c r="A15" t="s">
        <v>131</v>
      </c>
      <c r="B15" t="s">
        <v>159</v>
      </c>
      <c r="C15" t="s">
        <v>42</v>
      </c>
    </row>
    <row r="16" spans="1:4">
      <c r="A16" t="s">
        <v>132</v>
      </c>
      <c r="B16" t="s">
        <v>160</v>
      </c>
      <c r="C16" t="s">
        <v>43</v>
      </c>
    </row>
    <row r="17" spans="1:3">
      <c r="A17" t="s">
        <v>133</v>
      </c>
      <c r="B17" t="s">
        <v>161</v>
      </c>
      <c r="C17" t="s">
        <v>42</v>
      </c>
    </row>
    <row r="18" spans="1:3">
      <c r="A18" t="s">
        <v>134</v>
      </c>
      <c r="B18" t="s">
        <v>162</v>
      </c>
      <c r="C18" t="s">
        <v>43</v>
      </c>
    </row>
    <row r="19" spans="1:3">
      <c r="A19" t="s">
        <v>135</v>
      </c>
      <c r="B19" t="s">
        <v>163</v>
      </c>
      <c r="C19" t="s">
        <v>42</v>
      </c>
    </row>
    <row r="20" spans="1:3">
      <c r="A20" t="s">
        <v>136</v>
      </c>
      <c r="B20" t="s">
        <v>164</v>
      </c>
      <c r="C20" t="s">
        <v>43</v>
      </c>
    </row>
    <row r="21" spans="1:3">
      <c r="A21" t="s">
        <v>166</v>
      </c>
      <c r="B21" t="s">
        <v>165</v>
      </c>
      <c r="C21" t="s">
        <v>42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6"/>
  <sheetViews>
    <sheetView showGridLines="0" topLeftCell="B1" workbookViewId="0">
      <selection activeCell="C10" sqref="C10"/>
    </sheetView>
  </sheetViews>
  <sheetFormatPr defaultRowHeight="14.5"/>
  <cols>
    <col min="1" max="1" width="0" hidden="1" customWidth="1"/>
    <col min="2" max="2" width="21.7265625" customWidth="1"/>
    <col min="3" max="3" width="31.453125" bestFit="1" customWidth="1"/>
    <col min="4" max="4" width="14.26953125" bestFit="1" customWidth="1"/>
    <col min="5" max="5" width="10.81640625" bestFit="1" customWidth="1"/>
    <col min="6" max="6" width="10.54296875" bestFit="1" customWidth="1"/>
    <col min="7" max="7" width="12.453125" bestFit="1" customWidth="1"/>
    <col min="8" max="8" width="18.1796875" bestFit="1" customWidth="1"/>
    <col min="9" max="9" width="13.453125" bestFit="1" customWidth="1"/>
    <col min="10" max="10" width="17.26953125" customWidth="1"/>
  </cols>
  <sheetData>
    <row r="2" spans="2:10" ht="15" thickBot="1"/>
    <row r="3" spans="2:10" s="53" customFormat="1" ht="31.5" thickBot="1">
      <c r="B3" s="62"/>
      <c r="C3" s="63" t="s">
        <v>27</v>
      </c>
      <c r="D3" s="63" t="s">
        <v>28</v>
      </c>
      <c r="E3" s="64" t="s">
        <v>73</v>
      </c>
      <c r="F3" s="63" t="s">
        <v>13</v>
      </c>
      <c r="G3" s="64" t="s">
        <v>74</v>
      </c>
      <c r="H3" s="65" t="s">
        <v>34</v>
      </c>
      <c r="I3" s="66" t="s">
        <v>64</v>
      </c>
      <c r="J3" s="67" t="s">
        <v>66</v>
      </c>
    </row>
    <row r="4" spans="2:10">
      <c r="B4" s="92" t="s">
        <v>20</v>
      </c>
      <c r="C4" s="93" t="s">
        <v>137</v>
      </c>
      <c r="D4" s="215" t="s">
        <v>175</v>
      </c>
      <c r="E4" s="93" t="s">
        <v>138</v>
      </c>
      <c r="F4" s="93">
        <v>14</v>
      </c>
      <c r="G4" s="285" t="s">
        <v>39</v>
      </c>
      <c r="H4" s="94">
        <v>14</v>
      </c>
      <c r="I4" s="142" t="s">
        <v>140</v>
      </c>
      <c r="J4" s="95" t="s">
        <v>139</v>
      </c>
    </row>
    <row r="5" spans="2:10">
      <c r="B5" s="92" t="s">
        <v>21</v>
      </c>
      <c r="C5" s="93"/>
      <c r="D5" s="214"/>
      <c r="E5" s="93"/>
      <c r="F5" s="93"/>
      <c r="G5" s="286"/>
      <c r="H5" s="94"/>
      <c r="I5" s="141"/>
      <c r="J5" s="140"/>
    </row>
    <row r="6" spans="2:10">
      <c r="B6" s="92" t="s">
        <v>22</v>
      </c>
      <c r="C6" s="93"/>
      <c r="D6" s="214"/>
      <c r="E6" s="93"/>
      <c r="F6" s="93"/>
      <c r="G6" s="287"/>
      <c r="H6" s="94"/>
      <c r="I6" s="94"/>
      <c r="J6" s="93"/>
    </row>
  </sheetData>
  <sheetProtection password="D9FE"/>
  <mergeCells count="1">
    <mergeCell ref="G4:G6"/>
  </mergeCells>
  <pageMargins left="0.7" right="0.7" top="0.75" bottom="0.75" header="0.3" footer="0.3"/>
  <pageSetup orientation="portrait" horizontalDpi="4294967295" verticalDpi="4294967295" r:id="rId1"/>
  <ignoredErrors>
    <ignoredError sqref="D4" numberStoredAsText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Dashboard</vt:lpstr>
      <vt:lpstr>setup1</vt:lpstr>
      <vt:lpstr>FIRST TERM</vt:lpstr>
      <vt:lpstr>SECOND TERM</vt:lpstr>
      <vt:lpstr>THIRD TERM</vt:lpstr>
      <vt:lpstr>REPORT PAGE</vt:lpstr>
      <vt:lpstr>Student List</vt:lpstr>
      <vt:lpstr>Setup</vt:lpstr>
      <vt:lpstr>'REPORT PAGE'!Print_Area</vt:lpstr>
      <vt:lpstr>'SECOND TERM'!result</vt:lpstr>
      <vt:lpstr>'THIRD TERM'!result</vt:lpstr>
      <vt:lpstr>result</vt:lpstr>
      <vt:lpstr>'SECOND TERM'!table</vt:lpstr>
      <vt:lpstr>'THIRD TERM'!table</vt:lpstr>
      <vt:lpstr>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studioEleven22</dc:creator>
  <cp:lastModifiedBy>Aderoju Adeyemi</cp:lastModifiedBy>
  <cp:lastPrinted>2023-01-19T15:44:21Z</cp:lastPrinted>
  <dcterms:created xsi:type="dcterms:W3CDTF">2019-11-10T15:22:34Z</dcterms:created>
  <dcterms:modified xsi:type="dcterms:W3CDTF">2024-11-24T05:13:25Z</dcterms:modified>
</cp:coreProperties>
</file>