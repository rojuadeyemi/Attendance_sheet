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eroju Adeyemi\Documents\"/>
    </mc:Choice>
  </mc:AlternateContent>
  <xr:revisionPtr revIDLastSave="0" documentId="13_ncr:1_{42396C55-828F-4EE9-9373-1685E7CA9680}" xr6:coauthVersionLast="47" xr6:coauthVersionMax="47" xr10:uidLastSave="{00000000-0000-0000-0000-000000000000}"/>
  <bookViews>
    <workbookView xWindow="-120" yWindow="-120" windowWidth="21840" windowHeight="13140" xr2:uid="{4EAEA3BA-66AB-44FF-BEB1-17985180C629}"/>
  </bookViews>
  <sheets>
    <sheet name="Sheet1" sheetId="1" r:id="rId1"/>
    <sheet name="Sheet2" sheetId="2" state="hidden" r:id="rId2"/>
  </sheets>
  <definedNames>
    <definedName name="Holiday">Sheet2!$D$2:$D$23</definedName>
    <definedName name="Month">Sheet2!$A$1:$A$12</definedName>
    <definedName name="Year">Sheet2!$E$2:$E$3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6" i="1" l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I6" i="1"/>
  <c r="AI7" i="1"/>
  <c r="AI8" i="1"/>
  <c r="AI9" i="1"/>
  <c r="AI10" i="1"/>
  <c r="AI11" i="1"/>
  <c r="AI12" i="1"/>
  <c r="AI13" i="1"/>
  <c r="AI14" i="1"/>
  <c r="AI16" i="1"/>
  <c r="AI17" i="1"/>
  <c r="AI18" i="1"/>
  <c r="AI19" i="1"/>
  <c r="AH6" i="1"/>
  <c r="AH8" i="1"/>
  <c r="AH9" i="1"/>
  <c r="AH10" i="1"/>
  <c r="AH11" i="1"/>
  <c r="AH12" i="1"/>
  <c r="AH13" i="1"/>
  <c r="AH14" i="1"/>
  <c r="AH15" i="1"/>
  <c r="AH17" i="1"/>
  <c r="AH18" i="1"/>
  <c r="AH19" i="1"/>
  <c r="G2" i="2"/>
  <c r="C4" i="1"/>
  <c r="L2" i="2"/>
  <c r="F5" i="2" l="1"/>
  <c r="C3" i="1"/>
  <c r="D4" i="1"/>
  <c r="G5" i="2" l="1"/>
  <c r="D3" i="1"/>
  <c r="E4" i="1"/>
  <c r="H5" i="2" l="1"/>
  <c r="E3" i="1"/>
  <c r="F4" i="1"/>
  <c r="I5" i="2" l="1"/>
  <c r="F3" i="1"/>
  <c r="G4" i="1"/>
  <c r="J5" i="2" l="1"/>
  <c r="G3" i="1"/>
  <c r="AI5" i="1" s="1"/>
  <c r="H4" i="1"/>
  <c r="K5" i="2" l="1"/>
  <c r="H3" i="1"/>
  <c r="I4" i="1"/>
  <c r="L5" i="2" l="1"/>
  <c r="I3" i="1"/>
  <c r="J4" i="1"/>
  <c r="M5" i="2" l="1"/>
  <c r="J3" i="1"/>
  <c r="K4" i="1"/>
  <c r="N5" i="2" l="1"/>
  <c r="K3" i="1"/>
  <c r="AJ5" i="1" s="1"/>
  <c r="L4" i="1"/>
  <c r="O5" i="2" l="1"/>
  <c r="L3" i="1"/>
  <c r="M4" i="1"/>
  <c r="P5" i="2" l="1"/>
  <c r="M3" i="1"/>
  <c r="N4" i="1"/>
  <c r="Q5" i="2" l="1"/>
  <c r="N3" i="1"/>
  <c r="O4" i="1"/>
  <c r="R5" i="2" l="1"/>
  <c r="O3" i="1"/>
  <c r="P4" i="1"/>
  <c r="S5" i="2" l="1"/>
  <c r="P3" i="1"/>
  <c r="Q4" i="1"/>
  <c r="T5" i="2" l="1"/>
  <c r="Q3" i="1"/>
  <c r="R4" i="1"/>
  <c r="U5" i="2" l="1"/>
  <c r="R3" i="1"/>
  <c r="S4" i="1"/>
  <c r="V5" i="2" l="1"/>
  <c r="S3" i="1"/>
  <c r="T4" i="1"/>
  <c r="W5" i="2" l="1"/>
  <c r="T3" i="1"/>
  <c r="U4" i="1"/>
  <c r="X5" i="2" l="1"/>
  <c r="U3" i="1"/>
  <c r="V4" i="1"/>
  <c r="Y5" i="2" l="1"/>
  <c r="V3" i="1"/>
  <c r="W4" i="1"/>
  <c r="Z5" i="2" l="1"/>
  <c r="W3" i="1"/>
  <c r="X4" i="1"/>
  <c r="AA5" i="2" l="1"/>
  <c r="X3" i="1"/>
  <c r="Y4" i="1"/>
  <c r="AB5" i="2" l="1"/>
  <c r="Y3" i="1"/>
  <c r="AH5" i="1" s="1"/>
  <c r="Z4" i="1"/>
  <c r="AC5" i="2" l="1"/>
  <c r="Z3" i="1"/>
  <c r="AA4" i="1"/>
  <c r="AD5" i="2" l="1"/>
  <c r="AA3" i="1"/>
  <c r="AB4" i="1"/>
  <c r="AE5" i="2" l="1"/>
  <c r="AB3" i="1"/>
  <c r="AC4" i="1"/>
  <c r="AF5" i="2" l="1"/>
  <c r="AC3" i="1"/>
  <c r="AI15" i="1" s="1"/>
  <c r="AD4" i="1"/>
  <c r="AG5" i="2" l="1"/>
  <c r="AD3" i="1"/>
  <c r="AE4" i="1"/>
  <c r="AH16" i="1" l="1"/>
  <c r="AH7" i="1"/>
  <c r="AH5" i="2"/>
  <c r="AE3" i="1"/>
  <c r="AF4" i="1"/>
  <c r="AI5" i="2" l="1"/>
  <c r="AF3" i="1"/>
  <c r="AG4" i="1"/>
  <c r="AG3" i="1" s="1"/>
  <c r="AJ5" i="2" l="1"/>
  <c r="AK6" i="1" l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5" i="1"/>
  <c r="AL5" i="1"/>
  <c r="AM5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</calcChain>
</file>

<file path=xl/sharedStrings.xml><?xml version="1.0" encoding="utf-8"?>
<sst xmlns="http://schemas.openxmlformats.org/spreadsheetml/2006/main" count="78" uniqueCount="51">
  <si>
    <t>J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</si>
  <si>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</si>
  <si>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</si>
  <si>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</si>
  <si>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</si>
  <si>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</si>
  <si>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</si>
  <si>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</si>
  <si>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</si>
  <si>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</si>
  <si>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</si>
  <si>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</si>
  <si>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</si>
  <si>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Good Friday</t>
  </si>
  <si>
    <t>Easter Monday</t>
  </si>
  <si>
    <t>Labour Day</t>
  </si>
  <si>
    <t>Eid al-Fitr</t>
  </si>
  <si>
    <t>Democracy Day</t>
  </si>
  <si>
    <t>Eid al-Adha</t>
  </si>
  <si>
    <t>Nigeria Independence Day</t>
  </si>
  <si>
    <t>Prophet's Birthday</t>
  </si>
  <si>
    <t>Christmas Day</t>
  </si>
  <si>
    <t>Boxing Day</t>
  </si>
  <si>
    <t>Start Date</t>
  </si>
  <si>
    <t>End Date</t>
  </si>
  <si>
    <t>Employee Code</t>
  </si>
  <si>
    <t>Employee Name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</si>
  <si>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</si>
  <si>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</si>
  <si>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</si>
  <si>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</si>
  <si>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</si>
  <si>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</si>
  <si>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</si>
  <si>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</si>
  <si>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</si>
  <si>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</si>
  <si>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</si>
  <si>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</si>
  <si>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</si>
  <si>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O</t>
  </si>
  <si>
    <t>Full Day Present</t>
  </si>
  <si>
    <t>Full Day Absent</t>
  </si>
  <si>
    <t>Half Day Present</t>
  </si>
  <si>
    <t>Present Percentage</t>
  </si>
  <si>
    <t>Absent Percentage</t>
  </si>
  <si>
    <t>p</t>
  </si>
  <si>
    <t>P</t>
  </si>
  <si>
    <t>a</t>
  </si>
  <si>
    <t>Total Work Days</t>
  </si>
  <si>
    <t>Attendance for the month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</si>
</sst>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00B0F0"/>
      <name val="Algerian"/>
      <family val="5"/>
    </font>
    <font>
      <sz val="24"/>
      <color rgb="FF00B0F0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0" fontId="4" fillId="0" borderId="0" xfId="0" applyFont="1" applyAlignme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3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0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0" borderId="0" xfId="0" applyNumberFormat="1" applyProtection="1">
      <protection locked="0"/>
    </xf>
    <xf numFmtId="0" fontId="0" fillId="0" borderId="14" xfId="0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6" xfId="0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0" fillId="0" borderId="3" xfId="0" applyBorder="1" applyProtection="1"/>
    <xf numFmtId="0" fontId="0" fillId="0" borderId="4" xfId="0" applyBorder="1" applyProtection="1"/>
    <xf numFmtId="9" fontId="0" fillId="0" borderId="4" xfId="1" applyFont="1" applyBorder="1" applyProtection="1"/>
    <xf numFmtId="9" fontId="0" fillId="0" borderId="5" xfId="1" applyFont="1" applyBorder="1" applyProtection="1"/>
    <xf numFmtId="0" fontId="0" fillId="0" borderId="6" xfId="0" applyBorder="1" applyProtection="1"/>
    <xf numFmtId="0" fontId="0" fillId="0" borderId="0" xfId="0" applyBorder="1" applyProtection="1"/>
    <xf numFmtId="9" fontId="0" fillId="0" borderId="0" xfId="1" applyFont="1" applyBorder="1" applyProtection="1"/>
    <xf numFmtId="9" fontId="0" fillId="0" borderId="7" xfId="1" applyFont="1" applyBorder="1" applyProtection="1"/>
    <xf numFmtId="0" fontId="0" fillId="0" borderId="8" xfId="0" applyBorder="1" applyProtection="1"/>
    <xf numFmtId="0" fontId="0" fillId="0" borderId="9" xfId="0" applyBorder="1" applyProtection="1"/>
    <xf numFmtId="9" fontId="0" fillId="0" borderId="9" xfId="1" applyFont="1" applyBorder="1" applyProtection="1"/>
    <xf numFmtId="9" fontId="0" fillId="0" borderId="10" xfId="1" applyFont="1" applyBorder="1" applyProtection="1"/>
    <xf numFmtId="0" fontId="1" fillId="2" borderId="11" xfId="0" applyFont="1" applyFill="1" applyBorder="1" applyProtection="1"/>
    <xf numFmtId="0" fontId="1" fillId="2" borderId="1" xfId="0" applyFont="1" applyFill="1" applyBorder="1" applyProtection="1"/>
    <xf numFmtId="0" fontId="1" fillId="2" borderId="2" xfId="0" applyFont="1" applyFill="1" applyBorder="1" applyProtection="1"/>
    <xf numFmtId="164" fontId="1" fillId="2" borderId="11" xfId="0" applyNumberFormat="1" applyFont="1" applyFill="1" applyBorder="1" applyProtection="1"/>
    <xf numFmtId="164" fontId="1" fillId="2" borderId="1" xfId="0" applyNumberFormat="1" applyFont="1" applyFill="1" applyBorder="1" applyProtection="1"/>
    <xf numFmtId="164" fontId="1" fillId="2" borderId="2" xfId="0" applyNumberFormat="1" applyFont="1" applyFill="1" applyBorder="1" applyProtection="1"/>
  </cellXfs>
  <cellStyles count="2">
    <cellStyle name="Normal" xfId="0" builtinId="0"/>
    <cellStyle name="Percent" xfId="1" builtinId="5"/>
  </cellStyles>
  <dxfs count="4">
    <dxf>
      <font>
        <b/>
        <i val="0"/>
        <color theme="0"/>
      </font>
      <fill>
        <patternFill patternType="solid">
          <fgColor auto="1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</dxf>
    <dxf>
      <font>
        <color auto="1"/>
      </font>
      <fill>
        <patternFill>
          <bgColor theme="1"/>
        </patternFill>
      </fill>
    </dxf>
    <dxf>
      <font>
        <b/>
        <i val="0"/>
        <color theme="9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619125</xdr:colOff>
          <xdr:row>0</xdr:row>
          <xdr:rowOff>95250</xdr:rowOff>
        </xdr:from>
        <xdr:to>
          <xdr:col>21</xdr:col>
          <xdr:colOff>135051</xdr:colOff>
          <xdr:row>1</xdr:row>
          <xdr:rowOff>46338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322489</xdr:colOff>
          <xdr:row>0</xdr:row>
          <xdr:rowOff>85726</xdr:rowOff>
        </xdr:from>
        <xdr:to>
          <xdr:col>24</xdr:col>
          <xdr:colOff>238125</xdr:colOff>
          <xdr:row>1</xdr:row>
          <xdr:rowOff>38100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0D08-AB1E-428D-9CD2-BA7E5506B847}">
  <sheetPr codeName="Sheet1"/>
  <dimension ref="A1:AO19"/>
  <sheetViews>
    <sheetView tabSelected="1" workbookViewId="0">
      <selection activeCell="K7" sqref="K7"/>
    </sheetView>
  </sheetViews>
  <sheetFormatPr defaultRowHeight="15" x14ac:dyDescent="0.25"/>
  <cols>
    <col min="1" max="1" width="15" style="3" bestFit="1" customWidth="1"/>
    <col min="2" max="2" width="15.7109375" style="3" bestFit="1" customWidth="1"/>
    <col min="3" max="3" width="11.42578125" style="3" bestFit="1" customWidth="1"/>
    <col min="4" max="4" width="8.140625" style="3" bestFit="1" customWidth="1"/>
    <col min="5" max="5" width="8.28515625" style="3" bestFit="1" customWidth="1"/>
    <col min="6" max="6" width="11.42578125" style="3" bestFit="1" customWidth="1"/>
    <col min="7" max="7" width="9" style="3" bestFit="1" customWidth="1"/>
    <col min="8" max="8" width="6.42578125" style="3" bestFit="1" customWidth="1"/>
    <col min="9" max="9" width="8.7109375" style="3" bestFit="1" customWidth="1"/>
    <col min="10" max="10" width="7.42578125" style="3" bestFit="1" customWidth="1"/>
    <col min="11" max="11" width="8.140625" style="3" bestFit="1" customWidth="1"/>
    <col min="12" max="12" width="8.28515625" style="3" bestFit="1" customWidth="1"/>
    <col min="13" max="13" width="11.42578125" style="3" bestFit="1" customWidth="1"/>
    <col min="14" max="14" width="9" style="3" bestFit="1" customWidth="1"/>
    <col min="15" max="15" width="6.42578125" style="3" bestFit="1" customWidth="1"/>
    <col min="16" max="16" width="8.7109375" style="3" bestFit="1" customWidth="1"/>
    <col min="17" max="17" width="7.42578125" style="3" bestFit="1" customWidth="1"/>
    <col min="18" max="18" width="8.140625" style="3" bestFit="1" customWidth="1"/>
    <col min="19" max="19" width="8.28515625" style="3" bestFit="1" customWidth="1"/>
    <col min="20" max="20" width="11.42578125" style="3" bestFit="1" customWidth="1"/>
    <col min="21" max="21" width="9" style="3" bestFit="1" customWidth="1"/>
    <col min="22" max="22" width="6.42578125" style="3" bestFit="1" customWidth="1"/>
    <col min="23" max="23" width="8.7109375" style="3" bestFit="1" customWidth="1"/>
    <col min="24" max="24" width="7.42578125" style="3" bestFit="1" customWidth="1"/>
    <col min="25" max="25" width="8.140625" style="3" bestFit="1" customWidth="1"/>
    <col min="26" max="26" width="8.28515625" style="3" bestFit="1" customWidth="1"/>
    <col min="27" max="27" width="11.42578125" style="3" bestFit="1" customWidth="1"/>
    <col min="28" max="28" width="9" style="3" bestFit="1" customWidth="1"/>
    <col min="29" max="29" width="6.42578125" style="3" bestFit="1" customWidth="1"/>
    <col min="30" max="30" width="8.7109375" style="3" bestFit="1" customWidth="1"/>
    <col min="31" max="31" width="7.42578125" style="3" bestFit="1" customWidth="1"/>
    <col min="32" max="32" width="8.140625" style="3" bestFit="1" customWidth="1"/>
    <col min="33" max="33" width="8.28515625" style="3" bestFit="1" customWidth="1"/>
    <col min="34" max="35" width="9.140625" style="3"/>
    <col min="36" max="37" width="10.42578125" style="3" customWidth="1"/>
    <col min="38" max="38" width="11.28515625" style="3" customWidth="1"/>
    <col min="39" max="39" width="12.42578125" style="3" customWidth="1"/>
    <col min="40" max="16384" width="9.140625" style="3"/>
  </cols>
  <sheetData>
    <row r="1" spans="1:41" ht="34.5" x14ac:dyDescent="0.55000000000000004">
      <c r="B1" s="4"/>
      <c r="C1" s="5" t="s">
        <v>50</v>
      </c>
      <c r="D1" s="5"/>
      <c r="E1" s="5"/>
      <c r="F1" s="5"/>
      <c r="G1" s="5"/>
      <c r="H1" s="5"/>
      <c r="I1" s="5"/>
      <c r="J1" s="5"/>
      <c r="K1" s="5"/>
      <c r="L1" s="5" t="s">
        <v>3</v>
      </c>
      <c r="M1" s="5"/>
      <c r="N1" s="5"/>
      <c r="O1" s="5"/>
      <c r="P1" s="5"/>
      <c r="Q1" s="5">
        <v>2022</v>
      </c>
      <c r="R1" s="5"/>
      <c r="S1" s="5"/>
    </row>
    <row r="2" spans="1:41" ht="15.75" thickBot="1" x14ac:dyDescent="0.3"/>
    <row r="3" spans="1:41" x14ac:dyDescent="0.25">
      <c r="A3" s="6" t="s">
        <v>25</v>
      </c>
      <c r="B3" s="7" t="s">
        <v>26</v>
      </c>
      <c r="C3" s="36" t="str">
        <f>TEXT(C4,"dddd")</f>
        <v>Tuesday</v>
      </c>
      <c r="D3" s="37" t="str">
        <f t="shared" ref="D3:AG3" si="0">TEXT(D4,"dddd")</f>
        <v>Wednesday</v>
      </c>
      <c r="E3" s="37" t="str">
        <f t="shared" si="0"/>
        <v>Thursday</v>
      </c>
      <c r="F3" s="37" t="str">
        <f t="shared" si="0"/>
        <v>Friday</v>
      </c>
      <c r="G3" s="37" t="str">
        <f t="shared" si="0"/>
        <v>Saturday</v>
      </c>
      <c r="H3" s="37" t="str">
        <f t="shared" si="0"/>
        <v>Sunday</v>
      </c>
      <c r="I3" s="37" t="str">
        <f t="shared" si="0"/>
        <v>Monday</v>
      </c>
      <c r="J3" s="37" t="str">
        <f t="shared" si="0"/>
        <v>Tuesday</v>
      </c>
      <c r="K3" s="37" t="str">
        <f t="shared" si="0"/>
        <v>Wednesday</v>
      </c>
      <c r="L3" s="37" t="str">
        <f t="shared" si="0"/>
        <v>Thursday</v>
      </c>
      <c r="M3" s="37" t="str">
        <f t="shared" si="0"/>
        <v>Friday</v>
      </c>
      <c r="N3" s="37" t="str">
        <f t="shared" si="0"/>
        <v>Saturday</v>
      </c>
      <c r="O3" s="37" t="str">
        <f t="shared" si="0"/>
        <v>Sunday</v>
      </c>
      <c r="P3" s="37" t="str">
        <f t="shared" si="0"/>
        <v>Monday</v>
      </c>
      <c r="Q3" s="37" t="str">
        <f t="shared" si="0"/>
        <v>Tuesday</v>
      </c>
      <c r="R3" s="37" t="str">
        <f t="shared" si="0"/>
        <v>Wednesday</v>
      </c>
      <c r="S3" s="37" t="str">
        <f t="shared" si="0"/>
        <v>Thursday</v>
      </c>
      <c r="T3" s="37" t="str">
        <f t="shared" si="0"/>
        <v>Friday</v>
      </c>
      <c r="U3" s="37" t="str">
        <f t="shared" si="0"/>
        <v>Saturday</v>
      </c>
      <c r="V3" s="37" t="str">
        <f t="shared" si="0"/>
        <v>Sunday</v>
      </c>
      <c r="W3" s="37" t="str">
        <f t="shared" si="0"/>
        <v>Monday</v>
      </c>
      <c r="X3" s="37" t="str">
        <f t="shared" si="0"/>
        <v>Tuesday</v>
      </c>
      <c r="Y3" s="37" t="str">
        <f t="shared" si="0"/>
        <v>Wednesday</v>
      </c>
      <c r="Z3" s="37" t="str">
        <f t="shared" si="0"/>
        <v>Thursday</v>
      </c>
      <c r="AA3" s="37" t="str">
        <f t="shared" si="0"/>
        <v>Friday</v>
      </c>
      <c r="AB3" s="37" t="str">
        <f t="shared" si="0"/>
        <v>Saturday</v>
      </c>
      <c r="AC3" s="37" t="str">
        <f t="shared" si="0"/>
        <v>Sunday</v>
      </c>
      <c r="AD3" s="37" t="str">
        <f t="shared" si="0"/>
        <v>Monday</v>
      </c>
      <c r="AE3" s="37" t="str">
        <f t="shared" si="0"/>
        <v>Tuesday</v>
      </c>
      <c r="AF3" s="37" t="str">
        <f t="shared" si="0"/>
        <v>Wednesday</v>
      </c>
      <c r="AG3" s="38" t="str">
        <f t="shared" si="0"/>
        <v>Thursday</v>
      </c>
      <c r="AH3" s="8" t="s">
        <v>41</v>
      </c>
      <c r="AI3" s="9" t="s">
        <v>42</v>
      </c>
      <c r="AJ3" s="9" t="s">
        <v>43</v>
      </c>
      <c r="AK3" s="9" t="s">
        <v>49</v>
      </c>
      <c r="AL3" s="9" t="s">
        <v>44</v>
      </c>
      <c r="AM3" s="10" t="s">
        <v>45</v>
      </c>
    </row>
    <row r="4" spans="1:41" ht="15.75" thickBot="1" x14ac:dyDescent="0.3">
      <c r="A4" s="11"/>
      <c r="B4" s="12"/>
      <c r="C4" s="39">
        <f>Sheet2!G2</f>
        <v>44621</v>
      </c>
      <c r="D4" s="40">
        <f>IF(C4&lt;Sheet2!$L$2,C4+1,"")</f>
        <v>44622</v>
      </c>
      <c r="E4" s="40">
        <f>IF(D4&lt;Sheet2!$L$2,D4+1,"")</f>
        <v>44623</v>
      </c>
      <c r="F4" s="40">
        <f>IF(E4&lt;Sheet2!$L$2,E4+1,"")</f>
        <v>44624</v>
      </c>
      <c r="G4" s="40">
        <f>IF(F4&lt;Sheet2!$L$2,F4+1,"")</f>
        <v>44625</v>
      </c>
      <c r="H4" s="40">
        <f>IF(G4&lt;Sheet2!$L$2,G4+1,"")</f>
        <v>44626</v>
      </c>
      <c r="I4" s="40">
        <f>IF(H4&lt;Sheet2!$L$2,H4+1,"")</f>
        <v>44627</v>
      </c>
      <c r="J4" s="40">
        <f>IF(I4&lt;Sheet2!$L$2,I4+1,"")</f>
        <v>44628</v>
      </c>
      <c r="K4" s="40">
        <f>IF(J4&lt;Sheet2!$L$2,J4+1,"")</f>
        <v>44629</v>
      </c>
      <c r="L4" s="40">
        <f>IF(K4&lt;Sheet2!$L$2,K4+1,"")</f>
        <v>44630</v>
      </c>
      <c r="M4" s="40">
        <f>IF(L4&lt;Sheet2!$L$2,L4+1,"")</f>
        <v>44631</v>
      </c>
      <c r="N4" s="40">
        <f>IF(M4&lt;Sheet2!$L$2,M4+1,"")</f>
        <v>44632</v>
      </c>
      <c r="O4" s="40">
        <f>IF(N4&lt;Sheet2!$L$2,N4+1,"")</f>
        <v>44633</v>
      </c>
      <c r="P4" s="40">
        <f>IF(O4&lt;Sheet2!$L$2,O4+1,"")</f>
        <v>44634</v>
      </c>
      <c r="Q4" s="40">
        <f>IF(P4&lt;Sheet2!$L$2,P4+1,"")</f>
        <v>44635</v>
      </c>
      <c r="R4" s="40">
        <f>IF(Q4&lt;Sheet2!$L$2,Q4+1,"")</f>
        <v>44636</v>
      </c>
      <c r="S4" s="40">
        <f>IF(R4&lt;Sheet2!$L$2,R4+1,"")</f>
        <v>44637</v>
      </c>
      <c r="T4" s="40">
        <f>IF(S4&lt;Sheet2!$L$2,S4+1,"")</f>
        <v>44638</v>
      </c>
      <c r="U4" s="40">
        <f>IF(T4&lt;Sheet2!$L$2,T4+1,"")</f>
        <v>44639</v>
      </c>
      <c r="V4" s="40">
        <f>IF(U4&lt;Sheet2!$L$2,U4+1,"")</f>
        <v>44640</v>
      </c>
      <c r="W4" s="40">
        <f>IF(V4&lt;Sheet2!$L$2,V4+1,"")</f>
        <v>44641</v>
      </c>
      <c r="X4" s="40">
        <f>IF(W4&lt;Sheet2!$L$2,W4+1,"")</f>
        <v>44642</v>
      </c>
      <c r="Y4" s="40">
        <f>IF(X4&lt;Sheet2!$L$2,X4+1,"")</f>
        <v>44643</v>
      </c>
      <c r="Z4" s="40">
        <f>IF(Y4&lt;Sheet2!$L$2,Y4+1,"")</f>
        <v>44644</v>
      </c>
      <c r="AA4" s="40">
        <f>IF(Z4&lt;Sheet2!$L$2,Z4+1,"")</f>
        <v>44645</v>
      </c>
      <c r="AB4" s="40">
        <f>IF(AA4&lt;Sheet2!$L$2,AA4+1,"")</f>
        <v>44646</v>
      </c>
      <c r="AC4" s="40">
        <f>IF(AB4&lt;Sheet2!$L$2,AB4+1,"")</f>
        <v>44647</v>
      </c>
      <c r="AD4" s="40">
        <f>IF(AC4&lt;Sheet2!$L$2,AC4+1,"")</f>
        <v>44648</v>
      </c>
      <c r="AE4" s="40">
        <f>IF(AD4&lt;Sheet2!$L$2,AD4+1,"")</f>
        <v>44649</v>
      </c>
      <c r="AF4" s="40">
        <f>IF(AE4&lt;Sheet2!$L$2,AE4+1,"")</f>
        <v>44650</v>
      </c>
      <c r="AG4" s="41">
        <f>IF(AF4&lt;Sheet2!$L$2,AF4+1,"")</f>
        <v>44651</v>
      </c>
      <c r="AH4" s="13"/>
      <c r="AI4" s="14"/>
      <c r="AJ4" s="14"/>
      <c r="AK4" s="14"/>
      <c r="AL4" s="14"/>
      <c r="AM4" s="15"/>
      <c r="AN4" s="16"/>
      <c r="AO4" s="16"/>
    </row>
    <row r="5" spans="1:41" x14ac:dyDescent="0.25">
      <c r="A5" s="17">
        <v>1</v>
      </c>
      <c r="B5" s="18" t="s">
        <v>27</v>
      </c>
      <c r="C5" s="19" t="s">
        <v>46</v>
      </c>
      <c r="D5" s="20" t="s">
        <v>46</v>
      </c>
      <c r="E5" s="20" t="s">
        <v>46</v>
      </c>
      <c r="F5" s="20" t="s">
        <v>46</v>
      </c>
      <c r="G5" s="20" t="s">
        <v>48</v>
      </c>
      <c r="H5" s="20"/>
      <c r="I5" s="20" t="s">
        <v>46</v>
      </c>
      <c r="J5" s="20" t="s">
        <v>34</v>
      </c>
      <c r="K5" s="20" t="s">
        <v>34</v>
      </c>
      <c r="L5" s="20"/>
      <c r="M5" s="20" t="s">
        <v>46</v>
      </c>
      <c r="N5" s="20"/>
      <c r="O5" s="20"/>
      <c r="P5" s="20"/>
      <c r="Q5" s="20" t="s">
        <v>46</v>
      </c>
      <c r="R5" s="20"/>
      <c r="S5" s="20"/>
      <c r="T5" s="20"/>
      <c r="U5" s="20"/>
      <c r="V5" s="20"/>
      <c r="W5" s="20" t="s">
        <v>47</v>
      </c>
      <c r="X5" s="20" t="s">
        <v>47</v>
      </c>
      <c r="Y5" s="20" t="s">
        <v>46</v>
      </c>
      <c r="Z5" s="20"/>
      <c r="AA5" s="20"/>
      <c r="AB5" s="20"/>
      <c r="AC5" s="20"/>
      <c r="AD5" s="20"/>
      <c r="AE5" s="20"/>
      <c r="AF5" s="20"/>
      <c r="AG5" s="21"/>
      <c r="AH5" s="24">
        <f>COUNTIFS($C5:$AG5,"P",$C$3:$AG$3,"&lt;&gt;Sunday",$C$3:$AG$3,"&lt;&gt;Saturday",Sheet2!$F$5:$AJ$5,0)</f>
        <v>10</v>
      </c>
      <c r="AI5" s="25">
        <f>COUNTIFS($C5:$AG5,"A",$C$3:$AG$3,"&lt;&gt;Sunday",$C$3:$AG$3,"&lt;&gt;Saturday",Sheet2!$F$5:$AJ$5,0)</f>
        <v>0</v>
      </c>
      <c r="AJ5" s="25">
        <f>COUNTIFS($C5:$AG5,"H",$C$3:$AG$3,"&lt;&gt;Sunday",$C$3:$AG$3,"&lt;&gt;Saturday",Sheet2!$F$5:$AJ$5,0)</f>
        <v>2</v>
      </c>
      <c r="AK5" s="25">
        <f>COUNTIFS(Sheet2!$F$5:$AJ$5,0, $C$3:$AG$3,"&lt;&gt;Sunday",$C$3:$AG$3,"&lt;&gt;Saturday")</f>
        <v>23</v>
      </c>
      <c r="AL5" s="26">
        <f>(AH5+0.5*AJ5)/AK5</f>
        <v>0.47826086956521741</v>
      </c>
      <c r="AM5" s="27">
        <f>AJ5/AK5</f>
        <v>8.6956521739130432E-2</v>
      </c>
    </row>
    <row r="6" spans="1:41" x14ac:dyDescent="0.25">
      <c r="A6" s="17">
        <v>2</v>
      </c>
      <c r="B6" s="18" t="s">
        <v>28</v>
      </c>
      <c r="C6" s="19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1"/>
      <c r="AH6" s="28">
        <f>COUNTIFS($C6:$AG6,"P",$C$3:$AG$3,"&lt;&gt;Sunday",$C$3:$AG$3,"&lt;&gt;Saturday",Sheet2!$F$5:$AJ$5,0)</f>
        <v>0</v>
      </c>
      <c r="AI6" s="29">
        <f>COUNTIFS($C6:$AG6,"A",$C$3:$AG$3,"&lt;&gt;Sunday",$C$3:$AG$3,"&lt;&gt;Saturday",Sheet2!$F$5:$AJ$5,0)</f>
        <v>0</v>
      </c>
      <c r="AJ6" s="29">
        <f>COUNTIFS($C6:$AG6,"H",$C$3:$AG$3,"&lt;&gt;Sunday",$C$3:$AG$3,"&lt;&gt;Saturday",Sheet2!$F$5:$AJ$5,0)</f>
        <v>0</v>
      </c>
      <c r="AK6" s="29">
        <f>COUNTIFS(Sheet2!$F$5:$AJ$5,0, $C$3:$AG$3,"&lt;&gt;Sunday",$C$3:$AG$3,"&lt;&gt;Saturday")</f>
        <v>23</v>
      </c>
      <c r="AL6" s="30">
        <f t="shared" ref="AL6:AL19" si="1">(AH6+0.5*AJ6)/AK6</f>
        <v>0</v>
      </c>
      <c r="AM6" s="31">
        <f t="shared" ref="AM6:AM19" si="2">AJ6/AK6</f>
        <v>0</v>
      </c>
    </row>
    <row r="7" spans="1:41" x14ac:dyDescent="0.25">
      <c r="A7" s="17">
        <v>3</v>
      </c>
      <c r="B7" s="18" t="s">
        <v>29</v>
      </c>
      <c r="C7" s="19"/>
      <c r="D7" s="20"/>
      <c r="E7" s="20"/>
      <c r="F7" s="20"/>
      <c r="G7" s="20"/>
      <c r="H7" s="20"/>
      <c r="I7" s="20"/>
      <c r="J7" s="20"/>
      <c r="K7" s="20"/>
      <c r="L7" s="20"/>
      <c r="M7" s="20"/>
      <c r="N7" s="20" t="s">
        <v>46</v>
      </c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 t="s">
        <v>47</v>
      </c>
      <c r="AE7" s="20"/>
      <c r="AF7" s="20"/>
      <c r="AG7" s="21"/>
      <c r="AH7" s="28">
        <f>COUNTIFS($C7:$AG7,"P",$C$3:$AG$3,"&lt;&gt;Sunday",$C$3:$AG$3,"&lt;&gt;Saturday",Sheet2!$F$5:$AJ$5,0)</f>
        <v>1</v>
      </c>
      <c r="AI7" s="29">
        <f>COUNTIFS($C7:$AG7,"A",$C$3:$AG$3,"&lt;&gt;Sunday",$C$3:$AG$3,"&lt;&gt;Saturday",Sheet2!$F$5:$AJ$5,0)</f>
        <v>0</v>
      </c>
      <c r="AJ7" s="29">
        <f>COUNTIFS($C7:$AG7,"H",$C$3:$AG$3,"&lt;&gt;Sunday",$C$3:$AG$3,"&lt;&gt;Saturday",Sheet2!$F$5:$AJ$5,0)</f>
        <v>0</v>
      </c>
      <c r="AK7" s="29">
        <f>COUNTIFS(Sheet2!$F$5:$AJ$5,0, $C$3:$AG$3,"&lt;&gt;Sunday",$C$3:$AG$3,"&lt;&gt;Saturday")</f>
        <v>23</v>
      </c>
      <c r="AL7" s="30">
        <f t="shared" si="1"/>
        <v>4.3478260869565216E-2</v>
      </c>
      <c r="AM7" s="31">
        <f t="shared" si="2"/>
        <v>0</v>
      </c>
    </row>
    <row r="8" spans="1:41" x14ac:dyDescent="0.25">
      <c r="A8" s="17">
        <v>4</v>
      </c>
      <c r="B8" s="18" t="s">
        <v>30</v>
      </c>
      <c r="C8" s="19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1"/>
      <c r="AH8" s="28">
        <f>COUNTIFS($C8:$AG8,"P",$C$3:$AG$3,"&lt;&gt;Sunday",$C$3:$AG$3,"&lt;&gt;Saturday",Sheet2!$F$5:$AJ$5,0)</f>
        <v>0</v>
      </c>
      <c r="AI8" s="29">
        <f>COUNTIFS($C8:$AG8,"A",$C$3:$AG$3,"&lt;&gt;Sunday",$C$3:$AG$3,"&lt;&gt;Saturday",Sheet2!$F$5:$AJ$5,0)</f>
        <v>0</v>
      </c>
      <c r="AJ8" s="29">
        <f>COUNTIFS($C8:$AG8,"H",$C$3:$AG$3,"&lt;&gt;Sunday",$C$3:$AG$3,"&lt;&gt;Saturday",Sheet2!$F$5:$AJ$5,0)</f>
        <v>0</v>
      </c>
      <c r="AK8" s="29">
        <f>COUNTIFS(Sheet2!$F$5:$AJ$5,0, $C$3:$AG$3,"&lt;&gt;Sunday",$C$3:$AG$3,"&lt;&gt;Saturday")</f>
        <v>23</v>
      </c>
      <c r="AL8" s="30">
        <f t="shared" si="1"/>
        <v>0</v>
      </c>
      <c r="AM8" s="31">
        <f t="shared" si="2"/>
        <v>0</v>
      </c>
    </row>
    <row r="9" spans="1:41" x14ac:dyDescent="0.25">
      <c r="A9" s="17">
        <v>5</v>
      </c>
      <c r="B9" s="18" t="s">
        <v>31</v>
      </c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1"/>
      <c r="AH9" s="28">
        <f>COUNTIFS($C9:$AG9,"P",$C$3:$AG$3,"&lt;&gt;Sunday",$C$3:$AG$3,"&lt;&gt;Saturday",Sheet2!$F$5:$AJ$5,0)</f>
        <v>0</v>
      </c>
      <c r="AI9" s="29">
        <f>COUNTIFS($C9:$AG9,"A",$C$3:$AG$3,"&lt;&gt;Sunday",$C$3:$AG$3,"&lt;&gt;Saturday",Sheet2!$F$5:$AJ$5,0)</f>
        <v>0</v>
      </c>
      <c r="AJ9" s="29">
        <f>COUNTIFS($C9:$AG9,"H",$C$3:$AG$3,"&lt;&gt;Sunday",$C$3:$AG$3,"&lt;&gt;Saturday",Sheet2!$F$5:$AJ$5,0)</f>
        <v>0</v>
      </c>
      <c r="AK9" s="29">
        <f>COUNTIFS(Sheet2!$F$5:$AJ$5,0, $C$3:$AG$3,"&lt;&gt;Sunday",$C$3:$AG$3,"&lt;&gt;Saturday")</f>
        <v>23</v>
      </c>
      <c r="AL9" s="30">
        <f t="shared" si="1"/>
        <v>0</v>
      </c>
      <c r="AM9" s="31">
        <f t="shared" si="2"/>
        <v>0</v>
      </c>
    </row>
    <row r="10" spans="1:41" x14ac:dyDescent="0.25">
      <c r="A10" s="17">
        <v>6</v>
      </c>
      <c r="B10" s="18" t="s">
        <v>32</v>
      </c>
      <c r="C10" s="19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1"/>
      <c r="AH10" s="28">
        <f>COUNTIFS($C10:$AG10,"P",$C$3:$AG$3,"&lt;&gt;Sunday",$C$3:$AG$3,"&lt;&gt;Saturday",Sheet2!$F$5:$AJ$5,0)</f>
        <v>0</v>
      </c>
      <c r="AI10" s="29">
        <f>COUNTIFS($C10:$AG10,"A",$C$3:$AG$3,"&lt;&gt;Sunday",$C$3:$AG$3,"&lt;&gt;Saturday",Sheet2!$F$5:$AJ$5,0)</f>
        <v>0</v>
      </c>
      <c r="AJ10" s="29">
        <f>COUNTIFS($C10:$AG10,"H",$C$3:$AG$3,"&lt;&gt;Sunday",$C$3:$AG$3,"&lt;&gt;Saturday",Sheet2!$F$5:$AJ$5,0)</f>
        <v>0</v>
      </c>
      <c r="AK10" s="29">
        <f>COUNTIFS(Sheet2!$F$5:$AJ$5,0, $C$3:$AG$3,"&lt;&gt;Sunday",$C$3:$AG$3,"&lt;&gt;Saturday")</f>
        <v>23</v>
      </c>
      <c r="AL10" s="30">
        <f t="shared" si="1"/>
        <v>0</v>
      </c>
      <c r="AM10" s="31">
        <f t="shared" si="2"/>
        <v>0</v>
      </c>
    </row>
    <row r="11" spans="1:41" x14ac:dyDescent="0.25">
      <c r="A11" s="17">
        <v>7</v>
      </c>
      <c r="B11" s="18" t="s">
        <v>33</v>
      </c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1"/>
      <c r="AH11" s="28">
        <f>COUNTIFS($C11:$AG11,"P",$C$3:$AG$3,"&lt;&gt;Sunday",$C$3:$AG$3,"&lt;&gt;Saturday",Sheet2!$F$5:$AJ$5,0)</f>
        <v>0</v>
      </c>
      <c r="AI11" s="29">
        <f>COUNTIFS($C11:$AG11,"A",$C$3:$AG$3,"&lt;&gt;Sunday",$C$3:$AG$3,"&lt;&gt;Saturday",Sheet2!$F$5:$AJ$5,0)</f>
        <v>0</v>
      </c>
      <c r="AJ11" s="29">
        <f>COUNTIFS($C11:$AG11,"H",$C$3:$AG$3,"&lt;&gt;Sunday",$C$3:$AG$3,"&lt;&gt;Saturday",Sheet2!$F$5:$AJ$5,0)</f>
        <v>0</v>
      </c>
      <c r="AK11" s="29">
        <f>COUNTIFS(Sheet2!$F$5:$AJ$5,0, $C$3:$AG$3,"&lt;&gt;Sunday",$C$3:$AG$3,"&lt;&gt;Saturday")</f>
        <v>23</v>
      </c>
      <c r="AL11" s="30">
        <f t="shared" si="1"/>
        <v>0</v>
      </c>
      <c r="AM11" s="31">
        <f t="shared" si="2"/>
        <v>0</v>
      </c>
    </row>
    <row r="12" spans="1:41" x14ac:dyDescent="0.25">
      <c r="A12" s="17">
        <v>8</v>
      </c>
      <c r="B12" s="18" t="s">
        <v>34</v>
      </c>
      <c r="C12" s="19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1"/>
      <c r="AH12" s="28">
        <f>COUNTIFS($C12:$AG12,"P",$C$3:$AG$3,"&lt;&gt;Sunday",$C$3:$AG$3,"&lt;&gt;Saturday",Sheet2!$F$5:$AJ$5,0)</f>
        <v>0</v>
      </c>
      <c r="AI12" s="29">
        <f>COUNTIFS($C12:$AG12,"A",$C$3:$AG$3,"&lt;&gt;Sunday",$C$3:$AG$3,"&lt;&gt;Saturday",Sheet2!$F$5:$AJ$5,0)</f>
        <v>0</v>
      </c>
      <c r="AJ12" s="29">
        <f>COUNTIFS($C12:$AG12,"H",$C$3:$AG$3,"&lt;&gt;Sunday",$C$3:$AG$3,"&lt;&gt;Saturday",Sheet2!$F$5:$AJ$5,0)</f>
        <v>0</v>
      </c>
      <c r="AK12" s="29">
        <f>COUNTIFS(Sheet2!$F$5:$AJ$5,0, $C$3:$AG$3,"&lt;&gt;Sunday",$C$3:$AG$3,"&lt;&gt;Saturday")</f>
        <v>23</v>
      </c>
      <c r="AL12" s="30">
        <f t="shared" si="1"/>
        <v>0</v>
      </c>
      <c r="AM12" s="31">
        <f t="shared" si="2"/>
        <v>0</v>
      </c>
    </row>
    <row r="13" spans="1:41" x14ac:dyDescent="0.25">
      <c r="A13" s="17">
        <v>9</v>
      </c>
      <c r="B13" s="18" t="s">
        <v>35</v>
      </c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1"/>
      <c r="AH13" s="28">
        <f>COUNTIFS($C13:$AG13,"P",$C$3:$AG$3,"&lt;&gt;Sunday",$C$3:$AG$3,"&lt;&gt;Saturday",Sheet2!$F$5:$AJ$5,0)</f>
        <v>0</v>
      </c>
      <c r="AI13" s="29">
        <f>COUNTIFS($C13:$AG13,"A",$C$3:$AG$3,"&lt;&gt;Sunday",$C$3:$AG$3,"&lt;&gt;Saturday",Sheet2!$F$5:$AJ$5,0)</f>
        <v>0</v>
      </c>
      <c r="AJ13" s="29">
        <f>COUNTIFS($C13:$AG13,"H",$C$3:$AG$3,"&lt;&gt;Sunday",$C$3:$AG$3,"&lt;&gt;Saturday",Sheet2!$F$5:$AJ$5,0)</f>
        <v>0</v>
      </c>
      <c r="AK13" s="29">
        <f>COUNTIFS(Sheet2!$F$5:$AJ$5,0, $C$3:$AG$3,"&lt;&gt;Sunday",$C$3:$AG$3,"&lt;&gt;Saturday")</f>
        <v>23</v>
      </c>
      <c r="AL13" s="30">
        <f t="shared" si="1"/>
        <v>0</v>
      </c>
      <c r="AM13" s="31">
        <f t="shared" si="2"/>
        <v>0</v>
      </c>
    </row>
    <row r="14" spans="1:41" x14ac:dyDescent="0.25">
      <c r="A14" s="17">
        <v>10</v>
      </c>
      <c r="B14" s="18" t="s">
        <v>0</v>
      </c>
      <c r="C14" s="19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1"/>
      <c r="AH14" s="28">
        <f>COUNTIFS($C14:$AG14,"P",$C$3:$AG$3,"&lt;&gt;Sunday",$C$3:$AG$3,"&lt;&gt;Saturday",Sheet2!$F$5:$AJ$5,0)</f>
        <v>0</v>
      </c>
      <c r="AI14" s="29">
        <f>COUNTIFS($C14:$AG14,"A",$C$3:$AG$3,"&lt;&gt;Sunday",$C$3:$AG$3,"&lt;&gt;Saturday",Sheet2!$F$5:$AJ$5,0)</f>
        <v>0</v>
      </c>
      <c r="AJ14" s="29">
        <f>COUNTIFS($C14:$AG14,"H",$C$3:$AG$3,"&lt;&gt;Sunday",$C$3:$AG$3,"&lt;&gt;Saturday",Sheet2!$F$5:$AJ$5,0)</f>
        <v>0</v>
      </c>
      <c r="AK14" s="29">
        <f>COUNTIFS(Sheet2!$F$5:$AJ$5,0, $C$3:$AG$3,"&lt;&gt;Sunday",$C$3:$AG$3,"&lt;&gt;Saturday")</f>
        <v>23</v>
      </c>
      <c r="AL14" s="30">
        <f t="shared" si="1"/>
        <v>0</v>
      </c>
      <c r="AM14" s="31">
        <f t="shared" si="2"/>
        <v>0</v>
      </c>
    </row>
    <row r="15" spans="1:41" x14ac:dyDescent="0.25">
      <c r="A15" s="17">
        <v>11</v>
      </c>
      <c r="B15" s="18" t="s">
        <v>36</v>
      </c>
      <c r="C15" s="19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 t="s">
        <v>48</v>
      </c>
      <c r="AD15" s="20"/>
      <c r="AE15" s="20"/>
      <c r="AF15" s="20"/>
      <c r="AG15" s="21"/>
      <c r="AH15" s="28">
        <f>COUNTIFS($C15:$AG15,"P",$C$3:$AG$3,"&lt;&gt;Sunday",$C$3:$AG$3,"&lt;&gt;Saturday",Sheet2!$F$5:$AJ$5,0)</f>
        <v>0</v>
      </c>
      <c r="AI15" s="29">
        <f>COUNTIFS($C15:$AG15,"A",$C$3:$AG$3,"&lt;&gt;Sunday",$C$3:$AG$3,"&lt;&gt;Saturday",Sheet2!$F$5:$AJ$5,0)</f>
        <v>0</v>
      </c>
      <c r="AJ15" s="29">
        <f>COUNTIFS($C15:$AG15,"H",$C$3:$AG$3,"&lt;&gt;Sunday",$C$3:$AG$3,"&lt;&gt;Saturday",Sheet2!$F$5:$AJ$5,0)</f>
        <v>0</v>
      </c>
      <c r="AK15" s="29">
        <f>COUNTIFS(Sheet2!$F$5:$AJ$5,0, $C$3:$AG$3,"&lt;&gt;Sunday",$C$3:$AG$3,"&lt;&gt;Saturday")</f>
        <v>23</v>
      </c>
      <c r="AL15" s="30">
        <f t="shared" si="1"/>
        <v>0</v>
      </c>
      <c r="AM15" s="31">
        <f t="shared" si="2"/>
        <v>0</v>
      </c>
    </row>
    <row r="16" spans="1:41" x14ac:dyDescent="0.25">
      <c r="A16" s="17">
        <v>12</v>
      </c>
      <c r="B16" s="18" t="s">
        <v>37</v>
      </c>
      <c r="C16" s="19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 t="s">
        <v>46</v>
      </c>
      <c r="AE16" s="20"/>
      <c r="AF16" s="20"/>
      <c r="AG16" s="21"/>
      <c r="AH16" s="28">
        <f>COUNTIFS($C16:$AG16,"P",$C$3:$AG$3,"&lt;&gt;Sunday",$C$3:$AG$3,"&lt;&gt;Saturday",Sheet2!$F$5:$AJ$5,0)</f>
        <v>1</v>
      </c>
      <c r="AI16" s="29">
        <f>COUNTIFS($C16:$AG16,"A",$C$3:$AG$3,"&lt;&gt;Sunday",$C$3:$AG$3,"&lt;&gt;Saturday",Sheet2!$F$5:$AJ$5,0)</f>
        <v>0</v>
      </c>
      <c r="AJ16" s="29">
        <f>COUNTIFS($C16:$AG16,"H",$C$3:$AG$3,"&lt;&gt;Sunday",$C$3:$AG$3,"&lt;&gt;Saturday",Sheet2!$F$5:$AJ$5,0)</f>
        <v>0</v>
      </c>
      <c r="AK16" s="29">
        <f>COUNTIFS(Sheet2!$F$5:$AJ$5,0, $C$3:$AG$3,"&lt;&gt;Sunday",$C$3:$AG$3,"&lt;&gt;Saturday")</f>
        <v>23</v>
      </c>
      <c r="AL16" s="30">
        <f t="shared" si="1"/>
        <v>4.3478260869565216E-2</v>
      </c>
      <c r="AM16" s="31">
        <f t="shared" si="2"/>
        <v>0</v>
      </c>
    </row>
    <row r="17" spans="1:39" x14ac:dyDescent="0.25">
      <c r="A17" s="17">
        <v>13</v>
      </c>
      <c r="B17" s="18" t="s">
        <v>38</v>
      </c>
      <c r="C17" s="19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1"/>
      <c r="AH17" s="28">
        <f>COUNTIFS($C17:$AG17,"P",$C$3:$AG$3,"&lt;&gt;Sunday",$C$3:$AG$3,"&lt;&gt;Saturday",Sheet2!$F$5:$AJ$5,0)</f>
        <v>0</v>
      </c>
      <c r="AI17" s="29">
        <f>COUNTIFS($C17:$AG17,"A",$C$3:$AG$3,"&lt;&gt;Sunday",$C$3:$AG$3,"&lt;&gt;Saturday",Sheet2!$F$5:$AJ$5,0)</f>
        <v>0</v>
      </c>
      <c r="AJ17" s="29">
        <f>COUNTIFS($C17:$AG17,"H",$C$3:$AG$3,"&lt;&gt;Sunday",$C$3:$AG$3,"&lt;&gt;Saturday",Sheet2!$F$5:$AJ$5,0)</f>
        <v>0</v>
      </c>
      <c r="AK17" s="29">
        <f>COUNTIFS(Sheet2!$F$5:$AJ$5,0, $C$3:$AG$3,"&lt;&gt;Sunday",$C$3:$AG$3,"&lt;&gt;Saturday")</f>
        <v>23</v>
      </c>
      <c r="AL17" s="30">
        <f t="shared" si="1"/>
        <v>0</v>
      </c>
      <c r="AM17" s="31">
        <f t="shared" si="2"/>
        <v>0</v>
      </c>
    </row>
    <row r="18" spans="1:39" x14ac:dyDescent="0.25">
      <c r="A18" s="17">
        <v>14</v>
      </c>
      <c r="B18" s="18" t="s">
        <v>39</v>
      </c>
      <c r="C18" s="19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1"/>
      <c r="AH18" s="28">
        <f>COUNTIFS($C18:$AG18,"P",$C$3:$AG$3,"&lt;&gt;Sunday",$C$3:$AG$3,"&lt;&gt;Saturday",Sheet2!$F$5:$AJ$5,0)</f>
        <v>0</v>
      </c>
      <c r="AI18" s="29">
        <f>COUNTIFS($C18:$AG18,"A",$C$3:$AG$3,"&lt;&gt;Sunday",$C$3:$AG$3,"&lt;&gt;Saturday",Sheet2!$F$5:$AJ$5,0)</f>
        <v>0</v>
      </c>
      <c r="AJ18" s="29">
        <f>COUNTIFS($C18:$AG18,"H",$C$3:$AG$3,"&lt;&gt;Sunday",$C$3:$AG$3,"&lt;&gt;Saturday",Sheet2!$F$5:$AJ$5,0)</f>
        <v>0</v>
      </c>
      <c r="AK18" s="29">
        <f>COUNTIFS(Sheet2!$F$5:$AJ$5,0, $C$3:$AG$3,"&lt;&gt;Sunday",$C$3:$AG$3,"&lt;&gt;Saturday")</f>
        <v>23</v>
      </c>
      <c r="AL18" s="30">
        <f t="shared" si="1"/>
        <v>0</v>
      </c>
      <c r="AM18" s="31">
        <f t="shared" si="2"/>
        <v>0</v>
      </c>
    </row>
    <row r="19" spans="1:39" ht="15.75" thickBot="1" x14ac:dyDescent="0.3">
      <c r="A19" s="22">
        <v>15</v>
      </c>
      <c r="B19" s="23" t="s">
        <v>40</v>
      </c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1"/>
      <c r="AH19" s="32">
        <f>COUNTIFS($C19:$AG19,"P",$C$3:$AG$3,"&lt;&gt;Sunday",$C$3:$AG$3,"&lt;&gt;Saturday",Sheet2!$F$5:$AJ$5,0)</f>
        <v>0</v>
      </c>
      <c r="AI19" s="33">
        <f>COUNTIFS($C19:$AG19,"A",$C$3:$AG$3,"&lt;&gt;Sunday",$C$3:$AG$3,"&lt;&gt;Saturday",Sheet2!$F$5:$AJ$5,0)</f>
        <v>0</v>
      </c>
      <c r="AJ19" s="33">
        <f>COUNTIFS($C19:$AG19,"H",$C$3:$AG$3,"&lt;&gt;Sunday",$C$3:$AG$3,"&lt;&gt;Saturday",Sheet2!$F$5:$AJ$5,0)</f>
        <v>0</v>
      </c>
      <c r="AK19" s="33">
        <f>COUNTIFS(Sheet2!$F$5:$AJ$5,0, $C$3:$AG$3,"&lt;&gt;Sunday",$C$3:$AG$3,"&lt;&gt;Saturday")</f>
        <v>23</v>
      </c>
      <c r="AL19" s="34">
        <f t="shared" si="1"/>
        <v>0</v>
      </c>
      <c r="AM19" s="35">
        <f t="shared" si="2"/>
        <v>0</v>
      </c>
    </row>
  </sheetData>
  <sheetProtection algorithmName="SHA-512" hashValue="tNdlQkUblbbqy55D3a/Giu2Lb6/mUmRFpB8kro7R1JaRFHVQGR6VdFKcnE397GYF2DseF0BWuSYdDeBcJi/psQ==" saltValue="vT08EU0KTtv+Btm7fUNGxQ==" spinCount="100000" sheet="1" objects="1" scenarios="1" selectLockedCells="1"/>
  <mergeCells count="11">
    <mergeCell ref="AI3:AI4"/>
    <mergeCell ref="AJ3:AJ4"/>
    <mergeCell ref="AL3:AL4"/>
    <mergeCell ref="AM3:AM4"/>
    <mergeCell ref="L1:P1"/>
    <mergeCell ref="Q1:S1"/>
    <mergeCell ref="B3:B4"/>
    <mergeCell ref="A3:A4"/>
    <mergeCell ref="AH3:AH4"/>
    <mergeCell ref="AK3:AK4"/>
    <mergeCell ref="C1:K1"/>
  </mergeCells>
  <conditionalFormatting sqref="C5:AG19">
    <cfRule type="expression" dxfId="3" priority="1">
      <formula>COUNTIF(Holiday,C$4)</formula>
    </cfRule>
    <cfRule type="expression" dxfId="2" priority="2">
      <formula>OR(C$3="Sunday",C$3="Saturday")</formula>
    </cfRule>
  </conditionalFormatting>
  <conditionalFormatting sqref="C3:AG4">
    <cfRule type="expression" dxfId="1" priority="3">
      <formula>COUNTIF(Holiday,C$4)</formula>
    </cfRule>
    <cfRule type="expression" dxfId="0" priority="4">
      <formula>OR(C$3="Sunday",C$3="Saturday")</formula>
    </cfRule>
  </conditionalFormatting>
  <dataValidations count="3">
    <dataValidation type="list" allowBlank="1" showInputMessage="1" showErrorMessage="1" sqref="L1:P1" xr:uid="{226495E9-E3AE-4341-971A-DDBCFA1CC10C}">
      <formula1>Month</formula1>
    </dataValidation>
    <dataValidation type="list" allowBlank="1" showInputMessage="1" showErrorMessage="1" sqref="Q1:S1" xr:uid="{CBD8EA58-D0A3-449E-AD93-16A20A0DD350}">
      <formula1>Year</formula1>
    </dataValidation>
    <dataValidation type="custom" allowBlank="1" showInputMessage="1" showErrorMessage="1" errorTitle="Not Allowed" error="This is not a working day" sqref="C5:AG19" xr:uid="{8F891186-6965-4AC6-A982-570B85DAB352}">
      <formula1>AND(C$3&lt;&gt;"Sunday",C$3&lt;&gt;"Saturday",C$3&lt;&gt;"")</formula1>
    </dataValidation>
  </dataValidations>
  <pageMargins left="0.7" right="0.7" top="0.75" bottom="0.75" header="0.3" footer="0.3"/>
  <pageSetup orientation="portrait" r:id="rId1"/>
  <ignoredErrors>
    <ignoredError sqref="C3:AF3 AH5:AM19" unlockedFormula="1"/>
  </ignoredErrors>
  <drawing r:id="rId2"/>
  <legacyDrawing r:id="rId3"/>
  <controls>
    <mc:AlternateContent xmlns:mc="http://schemas.openxmlformats.org/markup-compatibility/2006">
      <mc:Choice Requires="x14">
        <control shapeId="1032" r:id="rId4" name="CommandButton2">
          <controlPr defaultSize="0" autoLine="0" r:id="rId5">
            <anchor moveWithCells="1">
              <from>
                <xdr:col>21</xdr:col>
                <xdr:colOff>323850</xdr:colOff>
                <xdr:row>0</xdr:row>
                <xdr:rowOff>85725</xdr:rowOff>
              </from>
              <to>
                <xdr:col>24</xdr:col>
                <xdr:colOff>238125</xdr:colOff>
                <xdr:row>1</xdr:row>
                <xdr:rowOff>38100</xdr:rowOff>
              </to>
            </anchor>
          </controlPr>
        </control>
      </mc:Choice>
      <mc:Fallback>
        <control shapeId="1032" r:id="rId4" name="CommandButton2"/>
      </mc:Fallback>
    </mc:AlternateContent>
    <mc:AlternateContent xmlns:mc="http://schemas.openxmlformats.org/markup-compatibility/2006">
      <mc:Choice Requires="x14">
        <control shapeId="1031" r:id="rId6" name="CommandButton1">
          <controlPr defaultSize="0" autoLine="0" r:id="rId7">
            <anchor moveWithCells="1">
              <from>
                <xdr:col>19</xdr:col>
                <xdr:colOff>619125</xdr:colOff>
                <xdr:row>0</xdr:row>
                <xdr:rowOff>95250</xdr:rowOff>
              </from>
              <to>
                <xdr:col>21</xdr:col>
                <xdr:colOff>133350</xdr:colOff>
                <xdr:row>1</xdr:row>
                <xdr:rowOff>47625</xdr:rowOff>
              </to>
            </anchor>
          </controlPr>
        </control>
      </mc:Choice>
      <mc:Fallback>
        <control shapeId="103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7B7F-D6C7-4C34-94F0-897AAC978B95}">
  <sheetPr codeName="Sheet2"/>
  <dimension ref="A1:AJ23"/>
  <sheetViews>
    <sheetView workbookViewId="0">
      <selection activeCell="F7" sqref="F7"/>
    </sheetView>
  </sheetViews>
  <sheetFormatPr defaultRowHeight="15" x14ac:dyDescent="0.25"/>
  <cols>
    <col min="3" max="3" width="24.85546875" bestFit="1" customWidth="1"/>
    <col min="4" max="4" width="10.7109375" bestFit="1" customWidth="1"/>
  </cols>
  <sheetData>
    <row r="1" spans="1:36" x14ac:dyDescent="0.25">
      <c r="A1" t="s">
        <v>1</v>
      </c>
    </row>
    <row r="2" spans="1:36" x14ac:dyDescent="0.25">
      <c r="A2" t="s">
        <v>2</v>
      </c>
      <c r="C2" t="s">
        <v>21</v>
      </c>
      <c r="D2" s="1">
        <v>44562</v>
      </c>
      <c r="E2">
        <v>2022</v>
      </c>
      <c r="F2" t="s">
        <v>23</v>
      </c>
      <c r="G2" s="2">
        <f>DATEVALUE("1"&amp;Sheet1!L1&amp;Sheet1!Q1)</f>
        <v>44621</v>
      </c>
      <c r="H2" s="2"/>
      <c r="I2" s="2"/>
      <c r="K2" t="s">
        <v>24</v>
      </c>
      <c r="L2" s="2">
        <f>EOMONTH(G2,0)</f>
        <v>44651</v>
      </c>
      <c r="M2" s="2"/>
      <c r="N2" s="2"/>
    </row>
    <row r="3" spans="1:36" x14ac:dyDescent="0.25">
      <c r="A3" t="s">
        <v>3</v>
      </c>
      <c r="C3" t="s">
        <v>13</v>
      </c>
      <c r="D3" s="1">
        <v>44666</v>
      </c>
      <c r="E3">
        <v>2023</v>
      </c>
    </row>
    <row r="4" spans="1:36" x14ac:dyDescent="0.25">
      <c r="A4" t="s">
        <v>4</v>
      </c>
      <c r="C4" t="s">
        <v>14</v>
      </c>
      <c r="D4" s="1">
        <v>44669</v>
      </c>
    </row>
    <row r="5" spans="1:36" x14ac:dyDescent="0.25">
      <c r="A5" t="s">
        <v>5</v>
      </c>
      <c r="C5" t="s">
        <v>15</v>
      </c>
      <c r="D5" s="1">
        <v>44682</v>
      </c>
      <c r="F5">
        <f>IFERROR(IF(Sheet1!C4="",1,MATCH(Sheet1!C4,Holiday,0)),0)</f>
        <v>0</v>
      </c>
      <c r="G5">
        <f>IFERROR(IF(Sheet1!D4="",1,MATCH(Sheet1!D4,Holiday,0)),0)</f>
        <v>0</v>
      </c>
      <c r="H5">
        <f>IFERROR(IF(Sheet1!E4="",1,MATCH(Sheet1!E4,Holiday,0)),0)</f>
        <v>0</v>
      </c>
      <c r="I5">
        <f>IFERROR(IF(Sheet1!F4="",1,MATCH(Sheet1!F4,Holiday,0)),0)</f>
        <v>0</v>
      </c>
      <c r="J5">
        <f>IFERROR(IF(Sheet1!G4="",1,MATCH(Sheet1!G4,Holiday,0)),0)</f>
        <v>0</v>
      </c>
      <c r="K5">
        <f>IFERROR(IF(Sheet1!H4="",1,MATCH(Sheet1!H4,Holiday,0)),0)</f>
        <v>0</v>
      </c>
      <c r="L5">
        <f>IFERROR(IF(Sheet1!I4="",1,MATCH(Sheet1!I4,Holiday,0)),0)</f>
        <v>0</v>
      </c>
      <c r="M5">
        <f>IFERROR(IF(Sheet1!J4="",1,MATCH(Sheet1!J4,Holiday,0)),0)</f>
        <v>0</v>
      </c>
      <c r="N5">
        <f>IFERROR(IF(Sheet1!K4="",1,MATCH(Sheet1!K4,Holiday,0)),0)</f>
        <v>0</v>
      </c>
      <c r="O5">
        <f>IFERROR(IF(Sheet1!L4="",1,MATCH(Sheet1!L4,Holiday,0)),0)</f>
        <v>0</v>
      </c>
      <c r="P5">
        <f>IFERROR(IF(Sheet1!M4="",1,MATCH(Sheet1!M4,Holiday,0)),0)</f>
        <v>0</v>
      </c>
      <c r="Q5">
        <f>IFERROR(IF(Sheet1!N4="",1,MATCH(Sheet1!N4,Holiday,0)),0)</f>
        <v>0</v>
      </c>
      <c r="R5">
        <f>IFERROR(IF(Sheet1!O4="",1,MATCH(Sheet1!O4,Holiday,0)),0)</f>
        <v>0</v>
      </c>
      <c r="S5">
        <f>IFERROR(IF(Sheet1!P4="",1,MATCH(Sheet1!P4,Holiday,0)),0)</f>
        <v>0</v>
      </c>
      <c r="T5">
        <f>IFERROR(IF(Sheet1!Q4="",1,MATCH(Sheet1!Q4,Holiday,0)),0)</f>
        <v>0</v>
      </c>
      <c r="U5">
        <f>IFERROR(IF(Sheet1!R4="",1,MATCH(Sheet1!R4,Holiday,0)),0)</f>
        <v>0</v>
      </c>
      <c r="V5">
        <f>IFERROR(IF(Sheet1!S4="",1,MATCH(Sheet1!S4,Holiday,0)),0)</f>
        <v>0</v>
      </c>
      <c r="W5">
        <f>IFERROR(IF(Sheet1!T4="",1,MATCH(Sheet1!T4,Holiday,0)),0)</f>
        <v>0</v>
      </c>
      <c r="X5">
        <f>IFERROR(IF(Sheet1!U4="",1,MATCH(Sheet1!U4,Holiday,0)),0)</f>
        <v>0</v>
      </c>
      <c r="Y5">
        <f>IFERROR(IF(Sheet1!V4="",1,MATCH(Sheet1!V4,Holiday,0)),0)</f>
        <v>0</v>
      </c>
      <c r="Z5">
        <f>IFERROR(IF(Sheet1!W4="",1,MATCH(Sheet1!W4,Holiday,0)),0)</f>
        <v>0</v>
      </c>
      <c r="AA5">
        <f>IFERROR(IF(Sheet1!X4="",1,MATCH(Sheet1!X4,Holiday,0)),0)</f>
        <v>0</v>
      </c>
      <c r="AB5">
        <f>IFERROR(IF(Sheet1!Y4="",1,MATCH(Sheet1!Y4,Holiday,0)),0)</f>
        <v>0</v>
      </c>
      <c r="AC5">
        <f>IFERROR(IF(Sheet1!Z4="",1,MATCH(Sheet1!Z4,Holiday,0)),0)</f>
        <v>0</v>
      </c>
      <c r="AD5">
        <f>IFERROR(IF(Sheet1!AA4="",1,MATCH(Sheet1!AA4,Holiday,0)),0)</f>
        <v>0</v>
      </c>
      <c r="AE5">
        <f>IFERROR(IF(Sheet1!AB4="",1,MATCH(Sheet1!AB4,Holiday,0)),0)</f>
        <v>0</v>
      </c>
      <c r="AF5">
        <f>IFERROR(IF(Sheet1!AC4="",1,MATCH(Sheet1!AC4,Holiday,0)),0)</f>
        <v>0</v>
      </c>
      <c r="AG5">
        <f>IFERROR(IF(Sheet1!AD4="",1,MATCH(Sheet1!AD4,Holiday,0)),0)</f>
        <v>0</v>
      </c>
      <c r="AH5">
        <f>IFERROR(IF(Sheet1!AE4="",1,MATCH(Sheet1!AE4,Holiday,0)),0)</f>
        <v>0</v>
      </c>
      <c r="AI5">
        <f>IFERROR(IF(Sheet1!AF4="",1,MATCH(Sheet1!AF4,Holiday,0)),0)</f>
        <v>0</v>
      </c>
      <c r="AJ5">
        <f>IFERROR(IF(Sheet1!AG4="",1,MATCH(Sheet1!AG4,Holiday,0)),0)</f>
        <v>0</v>
      </c>
    </row>
    <row r="6" spans="1:36" x14ac:dyDescent="0.25">
      <c r="A6" t="s">
        <v>6</v>
      </c>
      <c r="C6" t="s">
        <v>16</v>
      </c>
      <c r="D6" s="1">
        <v>44684</v>
      </c>
    </row>
    <row r="7" spans="1:36" x14ac:dyDescent="0.25">
      <c r="A7" t="s">
        <v>7</v>
      </c>
      <c r="C7" t="s">
        <v>17</v>
      </c>
      <c r="D7" s="1">
        <v>44724</v>
      </c>
    </row>
    <row r="8" spans="1:36" x14ac:dyDescent="0.25">
      <c r="A8" t="s">
        <v>8</v>
      </c>
      <c r="C8" t="s">
        <v>18</v>
      </c>
      <c r="D8" s="1">
        <v>44751</v>
      </c>
    </row>
    <row r="9" spans="1:36" x14ac:dyDescent="0.25">
      <c r="A9" t="s">
        <v>9</v>
      </c>
      <c r="C9" t="s">
        <v>19</v>
      </c>
      <c r="D9" s="1">
        <v>44835</v>
      </c>
    </row>
    <row r="10" spans="1:36" x14ac:dyDescent="0.25">
      <c r="A10" t="s">
        <v>10</v>
      </c>
      <c r="C10" t="s">
        <v>20</v>
      </c>
      <c r="D10" s="1">
        <v>44841</v>
      </c>
    </row>
    <row r="11" spans="1:36" x14ac:dyDescent="0.25">
      <c r="A11" t="s">
        <v>11</v>
      </c>
      <c r="C11" t="s">
        <v>21</v>
      </c>
      <c r="D11" s="1">
        <v>44920</v>
      </c>
    </row>
    <row r="12" spans="1:36" x14ac:dyDescent="0.25">
      <c r="A12" t="s">
        <v>12</v>
      </c>
      <c r="C12" t="s">
        <v>22</v>
      </c>
      <c r="D12" s="1">
        <v>44921</v>
      </c>
    </row>
    <row r="13" spans="1:36" x14ac:dyDescent="0.25">
      <c r="C13" t="s">
        <v>21</v>
      </c>
      <c r="D13" s="1">
        <v>44927</v>
      </c>
    </row>
    <row r="14" spans="1:36" x14ac:dyDescent="0.25">
      <c r="C14" t="s">
        <v>13</v>
      </c>
      <c r="D14" s="1">
        <v>45031</v>
      </c>
    </row>
    <row r="15" spans="1:36" x14ac:dyDescent="0.25">
      <c r="C15" t="s">
        <v>14</v>
      </c>
      <c r="D15" s="1">
        <v>45034</v>
      </c>
    </row>
    <row r="16" spans="1:36" x14ac:dyDescent="0.25">
      <c r="C16" t="s">
        <v>15</v>
      </c>
      <c r="D16" s="1">
        <v>45047</v>
      </c>
    </row>
    <row r="17" spans="3:4" x14ac:dyDescent="0.25">
      <c r="C17" t="s">
        <v>16</v>
      </c>
      <c r="D17" s="1">
        <v>45049</v>
      </c>
    </row>
    <row r="18" spans="3:4" x14ac:dyDescent="0.25">
      <c r="C18" t="s">
        <v>17</v>
      </c>
      <c r="D18" s="1">
        <v>45089</v>
      </c>
    </row>
    <row r="19" spans="3:4" x14ac:dyDescent="0.25">
      <c r="C19" t="s">
        <v>18</v>
      </c>
      <c r="D19" s="1">
        <v>45116</v>
      </c>
    </row>
    <row r="20" spans="3:4" x14ac:dyDescent="0.25">
      <c r="C20" t="s">
        <v>19</v>
      </c>
      <c r="D20" s="1">
        <v>45200</v>
      </c>
    </row>
    <row r="21" spans="3:4" x14ac:dyDescent="0.25">
      <c r="C21" t="s">
        <v>20</v>
      </c>
      <c r="D21" s="1">
        <v>45206</v>
      </c>
    </row>
    <row r="22" spans="3:4" x14ac:dyDescent="0.25">
      <c r="C22" t="s">
        <v>21</v>
      </c>
      <c r="D22" s="1">
        <v>45285</v>
      </c>
    </row>
    <row r="23" spans="3:4" x14ac:dyDescent="0.25">
      <c r="C23" t="s">
        <v>22</v>
      </c>
      <c r="D23" s="1">
        <v>45286</v>
      </c>
    </row>
  </sheetData>
  <mergeCells count="2">
    <mergeCell ref="G2:I2"/>
    <mergeCell ref="L2:N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Sheet2</vt:lpstr>
      <vt:lpstr>Holiday</vt:lpstr>
      <vt:lpstr>Month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Aderoju Adeyemi</dc:creator>
  <cp:lastModifiedBy>Aderoju Adeyemi</cp:lastModifiedBy>
  <dcterms:created xsi:type="dcterms:W3CDTF">2021-11-15T17:05:54Z</dcterms:created>
  <dcterms:modified xsi:type="dcterms:W3CDTF">2021-11-16T20:00:54Z</dcterms:modified>
</cp:coreProperties>
</file>